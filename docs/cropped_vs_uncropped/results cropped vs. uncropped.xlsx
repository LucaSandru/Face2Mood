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2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<sst xmlns="http://schemas.openxmlformats.org/spreadsheetml/2006/main" count="1317" uniqueCount="129">
  <si>
    <t>Image</t>
  </si>
  <si>
    <t>True Emotion</t>
  </si>
  <si>
    <t>Type</t>
  </si>
  <si>
    <t>Top1</t>
  </si>
  <si>
    <t>Conf1</t>
  </si>
  <si>
    <t>Top2</t>
  </si>
  <si>
    <t>Conf2</t>
  </si>
  <si>
    <t>Top3</t>
  </si>
  <si>
    <t>Conf3</t>
  </si>
  <si>
    <t>Top 1 correct</t>
  </si>
  <si>
    <t>Top 3 correct</t>
  </si>
  <si>
    <t>happy1</t>
  </si>
  <si>
    <t>happy</t>
  </si>
  <si>
    <t>uncropped</t>
  </si>
  <si>
    <t>fear</t>
  </si>
  <si>
    <t>neutral</t>
  </si>
  <si>
    <t>manual cropped</t>
  </si>
  <si>
    <t>disgust</t>
  </si>
  <si>
    <t>auto cropped</t>
  </si>
  <si>
    <t>angry</t>
  </si>
  <si>
    <t>surprise</t>
  </si>
  <si>
    <t>happy2</t>
  </si>
  <si>
    <t>sad</t>
  </si>
  <si>
    <t>happy3</t>
  </si>
  <si>
    <t>happy4</t>
  </si>
  <si>
    <t>happy5</t>
  </si>
  <si>
    <t>happy6</t>
  </si>
  <si>
    <t>happy7</t>
  </si>
  <si>
    <t>happy8</t>
  </si>
  <si>
    <t>happy9</t>
  </si>
  <si>
    <t>happy10</t>
  </si>
  <si>
    <t>angry1</t>
  </si>
  <si>
    <t>angry2</t>
  </si>
  <si>
    <t>angry3</t>
  </si>
  <si>
    <t>angry4</t>
  </si>
  <si>
    <t>angry5</t>
  </si>
  <si>
    <t>angry6</t>
  </si>
  <si>
    <t>angry7</t>
  </si>
  <si>
    <t>angry8</t>
  </si>
  <si>
    <t>angry9</t>
  </si>
  <si>
    <t>angry10</t>
  </si>
  <si>
    <t>disgust1</t>
  </si>
  <si>
    <t>disgust2</t>
  </si>
  <si>
    <t>disgust3</t>
  </si>
  <si>
    <t>disgust4</t>
  </si>
  <si>
    <t>disgust5</t>
  </si>
  <si>
    <t>disgust6</t>
  </si>
  <si>
    <t>disgust7</t>
  </si>
  <si>
    <t>disgust8</t>
  </si>
  <si>
    <t>disgust9</t>
  </si>
  <si>
    <t>disgust10</t>
  </si>
  <si>
    <t>fear1</t>
  </si>
  <si>
    <t>fear2</t>
  </si>
  <si>
    <t>fear3</t>
  </si>
  <si>
    <t>fear4</t>
  </si>
  <si>
    <t>fear5</t>
  </si>
  <si>
    <t>fear6</t>
  </si>
  <si>
    <t>fear7</t>
  </si>
  <si>
    <t>fear8</t>
  </si>
  <si>
    <t>fear9</t>
  </si>
  <si>
    <t>fear10</t>
  </si>
  <si>
    <t>neutral1</t>
  </si>
  <si>
    <t>neutral2</t>
  </si>
  <si>
    <t>neutral3</t>
  </si>
  <si>
    <t>neutral4</t>
  </si>
  <si>
    <t>neutral5</t>
  </si>
  <si>
    <t>neutral6</t>
  </si>
  <si>
    <t>neutral7</t>
  </si>
  <si>
    <t>neutral8</t>
  </si>
  <si>
    <t>neutral9</t>
  </si>
  <si>
    <t>neutral10</t>
  </si>
  <si>
    <t>sad1</t>
  </si>
  <si>
    <t>sad2</t>
  </si>
  <si>
    <t>sad3</t>
  </si>
  <si>
    <t>sad4</t>
  </si>
  <si>
    <t>sad5</t>
  </si>
  <si>
    <t>sad6</t>
  </si>
  <si>
    <t>sad7</t>
  </si>
  <si>
    <t>sad8</t>
  </si>
  <si>
    <t>sad9</t>
  </si>
  <si>
    <t>sad10</t>
  </si>
  <si>
    <t>surprise1</t>
  </si>
  <si>
    <t>surprise2</t>
  </si>
  <si>
    <t>surprise3</t>
  </si>
  <si>
    <t>surprise4</t>
  </si>
  <si>
    <t>surprise5</t>
  </si>
  <si>
    <t>surprise6</t>
  </si>
  <si>
    <t>surprise7</t>
  </si>
  <si>
    <t>surprise8</t>
  </si>
  <si>
    <t>surprise9</t>
  </si>
  <si>
    <t>surprise10</t>
  </si>
  <si>
    <t>Metric</t>
  </si>
  <si>
    <t>Uncropped</t>
  </si>
  <si>
    <t>Manual Cropped</t>
  </si>
  <si>
    <t>Auto Cropped</t>
  </si>
  <si>
    <t>Top-1 correct (count)</t>
  </si>
  <si>
    <t>Top-1 accuracy</t>
  </si>
  <si>
    <t>Top-3 correct (count)</t>
  </si>
  <si>
    <t>Top-3 accuracy</t>
  </si>
  <si>
    <t>Avg Top-1 confidence</t>
  </si>
  <si>
    <t>Avg Top-1 confidence when correct</t>
  </si>
  <si>
    <t>Uncropped Top-1</t>
  </si>
  <si>
    <t>Manual Cropped Top-1</t>
  </si>
  <si>
    <t>Auto Cropped Top-1</t>
  </si>
  <si>
    <t>Uncropped Top-3</t>
  </si>
  <si>
    <t>Manual Cropped Top-3</t>
  </si>
  <si>
    <t>Auto Cropped Top-3</t>
  </si>
  <si>
    <t>Key top-1 prediction trends</t>
  </si>
  <si>
    <t>Uncropped images are most often predicted as FEAR (24/70), regardless of true class.</t>
  </si>
  <si>
    <t>Cropped images sharply improve HAPPY (3/10 -&gt; 9/10 top-1), ANGRY (5/10 -&gt; 7/10), and NEUTRAL (5/10 -&gt; 6/10).</t>
  </si>
  <si>
    <t>DISGUST and SURPRISE remain the hardest classes: 0/10 top-1 correct for both cropped and uncropped.</t>
  </si>
  <si>
    <t>FEAR does not improve with cropping in top-1 (2/10 -&gt; 1/10), suggesting class overlap or dataset mismatch.</t>
  </si>
  <si>
    <t>Cropped images boost overall top-3 hit rate from 50.0% to 68.6%.</t>
  </si>
  <si>
    <t>Obs!!</t>
  </si>
  <si>
    <t>Charts in the final paper</t>
  </si>
  <si>
    <r>
      <rPr>
        <sz val="11"/>
        <color theme="1"/>
        <rFont val="Calibri"/>
        <charset val="134"/>
        <scheme val="minor"/>
      </rPr>
      <t xml:space="preserve">The auto-cropped pipeline is now your </t>
    </r>
    <r>
      <rPr>
        <b/>
        <sz val="11"/>
        <color theme="1"/>
        <rFont val="Calibri"/>
        <charset val="134"/>
        <scheme val="minor"/>
      </rPr>
      <t>best overall system</t>
    </r>
    <r>
      <rPr>
        <sz val="11"/>
        <color theme="1"/>
        <rFont val="Calibri"/>
        <charset val="134"/>
        <scheme val="minor"/>
      </rPr>
      <t xml:space="preserve"> for correctness:</t>
    </r>
  </si>
  <si>
    <t>best Top-1 accuracy</t>
  </si>
  <si>
    <t>best Top-3 accuracy</t>
  </si>
  <si>
    <t>That is the most important result.</t>
  </si>
  <si>
    <t>Interestingly, manual cropped still has:</t>
  </si>
  <si>
    <t>slightly higher average Top-1 confidence</t>
  </si>
  <si>
    <t>higher average Top-1 confidence when correct</t>
  </si>
  <si>
    <t>So the picture is:</t>
  </si>
  <si>
    <t>Auto-cropped is more accurate overall</t>
  </si>
  <si>
    <t>Manual cropped is a bit more confident when it is right</t>
  </si>
  <si>
    <t>That makes sense:</t>
  </si>
  <si>
    <t>manual crops are cleaner and tighter</t>
  </si>
  <si>
    <t>auto-crops are more realistic but slightly noisier</t>
  </si>
  <si>
    <t>yet auto-cropping still improves correctness the most compared with uncropped full images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</si>
</sst>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  <numFmt numFmtId="179" formatCode="\+0.0%;\-0.0%;0.0%"/>
  </numFmts>
  <fonts count="27">
    <font>
      <sz val="11"/>
      <color theme="1"/>
      <name val="Calibri"/>
      <charset val="134"/>
      <scheme val="minor"/>
    </font>
    <font>
      <b/>
      <sz val="11"/>
      <color rgb="FFFFFFFF"/>
      <name val="Aptos Narrow"/>
      <charset val="0"/>
    </font>
    <font>
      <b/>
      <sz val="14"/>
      <color theme="0"/>
      <name val="Calibri"/>
      <charset val="134"/>
      <scheme val="minor"/>
    </font>
    <font>
      <sz val="11"/>
      <color rgb="FF000000"/>
      <name val="Aptos Narrow"/>
      <charset val="0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0" xfId="0" applyFont="1" applyFill="1"/>
    <xf numFmtId="0" fontId="1" fillId="0" borderId="0" xfId="0" applyFont="1" applyFill="1"/>
    <xf numFmtId="0" fontId="2" fillId="0" borderId="0" xfId="0" applyFont="1" applyFill="1"/>
    <xf numFmtId="0" fontId="3" fillId="0" borderId="0" xfId="0" applyFont="1"/>
    <xf numFmtId="1" fontId="3" fillId="0" borderId="0" xfId="0" applyNumberFormat="1" applyFont="1"/>
    <xf numFmtId="178" fontId="3" fillId="0" borderId="0" xfId="0" applyNumberFormat="1" applyFont="1"/>
    <xf numFmtId="10" fontId="3" fillId="0" borderId="0" xfId="0" applyNumberFormat="1" applyFont="1" applyFill="1" applyBorder="1" applyAlignment="1" applyProtection="1"/>
    <xf numFmtId="179" fontId="3" fillId="0" borderId="0" xfId="0" applyNumberFormat="1" applyFont="1"/>
    <xf numFmtId="9" fontId="3" fillId="0" borderId="0" xfId="0" applyNumberFormat="1" applyFont="1" applyFill="1" applyBorder="1" applyAlignment="1" applyProtection="1"/>
    <xf numFmtId="9" fontId="0" fillId="0" borderId="0" xfId="0" applyNumberFormat="1"/>
    <xf numFmtId="0" fontId="0" fillId="0" borderId="0" xfId="0" applyAlignment="1">
      <alignment horizontal="left" indent="1"/>
    </xf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center"/>
    </xf>
    <xf numFmtId="10" fontId="0" fillId="0" borderId="0" xfId="0" applyNumberFormat="1"/>
    <xf numFmtId="0" fontId="6" fillId="0" borderId="0" xfId="0" applyFont="1"/>
    <xf numFmtId="0" fontId="7" fillId="0" borderId="0" xfId="0" applyFont="1" applyAlignment="1">
      <alignment horizontal="center"/>
    </xf>
    <xf numFmtId="10" fontId="0" fillId="0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8"/>
  <sheetViews>
    <sheetView zoomScale="145" zoomScaleNormal="145" topLeftCell="A57" workbookViewId="0">
      <selection activeCell="C230" sqref="C230"/>
    </sheetView>
  </sheetViews>
  <sheetFormatPr defaultColWidth="9" defaultRowHeight="14.4"/>
  <cols>
    <col min="1" max="1" width="10" customWidth="1"/>
    <col min="2" max="2" width="16.6666666666667" customWidth="1"/>
    <col min="3" max="3" width="15.4444444444444" customWidth="1"/>
    <col min="10" max="11" width="16.2222222222222" customWidth="1"/>
  </cols>
  <sheetData>
    <row r="1" s="13" customFormat="1" ht="18" spans="1:1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</row>
    <row r="2" spans="1:11">
      <c r="A2" t="s">
        <v>11</v>
      </c>
      <c r="B2" t="s">
        <v>12</v>
      </c>
      <c r="C2" t="s">
        <v>13</v>
      </c>
      <c r="D2" t="s">
        <v>12</v>
      </c>
      <c r="E2" s="14">
        <v>0.372</v>
      </c>
      <c r="F2" t="s">
        <v>14</v>
      </c>
      <c r="G2" s="14">
        <v>0.245</v>
      </c>
      <c r="H2" t="s">
        <v>15</v>
      </c>
      <c r="I2" s="14">
        <v>0.132</v>
      </c>
      <c r="J2">
        <f>IF(A2="","",--(B2=D2))</f>
        <v>1</v>
      </c>
      <c r="K2">
        <f>IF(A2="","",--OR(B2=D2,B2=F2,B2=H2))</f>
        <v>1</v>
      </c>
    </row>
    <row r="3" ht="12" customHeight="1" spans="1:11">
      <c r="A3" t="s">
        <v>11</v>
      </c>
      <c r="B3" t="s">
        <v>12</v>
      </c>
      <c r="C3" s="15" t="s">
        <v>16</v>
      </c>
      <c r="D3" t="s">
        <v>12</v>
      </c>
      <c r="E3" s="14">
        <v>0.735</v>
      </c>
      <c r="F3" t="s">
        <v>15</v>
      </c>
      <c r="G3" s="14">
        <v>0.123</v>
      </c>
      <c r="H3" t="s">
        <v>17</v>
      </c>
      <c r="I3" s="14">
        <v>0.047</v>
      </c>
      <c r="J3">
        <f>IF(A3="","",--(B3=D3))</f>
        <v>1</v>
      </c>
      <c r="K3">
        <f>IF(A3="","",--OR(B3=D3,B3=F3,B3=H3))</f>
        <v>1</v>
      </c>
    </row>
    <row r="4" spans="1:11">
      <c r="A4" t="s">
        <v>11</v>
      </c>
      <c r="B4" t="s">
        <v>12</v>
      </c>
      <c r="C4" s="16" t="s">
        <v>18</v>
      </c>
      <c r="D4" t="s">
        <v>12</v>
      </c>
      <c r="E4" s="14">
        <v>0.77</v>
      </c>
      <c r="F4" t="s">
        <v>19</v>
      </c>
      <c r="G4" s="14">
        <v>0.064</v>
      </c>
      <c r="H4" t="s">
        <v>20</v>
      </c>
      <c r="I4" s="14">
        <v>0.058</v>
      </c>
      <c r="J4">
        <v>1</v>
      </c>
      <c r="K4">
        <v>1</v>
      </c>
    </row>
    <row r="5" spans="1:11">
      <c r="A5" t="s">
        <v>21</v>
      </c>
      <c r="B5" t="s">
        <v>12</v>
      </c>
      <c r="C5" t="s">
        <v>13</v>
      </c>
      <c r="D5" t="s">
        <v>12</v>
      </c>
      <c r="E5" s="14">
        <v>0.314</v>
      </c>
      <c r="F5" t="s">
        <v>14</v>
      </c>
      <c r="G5" s="14">
        <v>0.238</v>
      </c>
      <c r="H5" t="s">
        <v>22</v>
      </c>
      <c r="I5" s="14">
        <v>0.171</v>
      </c>
      <c r="J5">
        <f>IF(A5="","",--(B5=D5))</f>
        <v>1</v>
      </c>
      <c r="K5">
        <f>IF(A5="","",--OR(B5=D5,B5=F5,B5=H5))</f>
        <v>1</v>
      </c>
    </row>
    <row r="6" spans="1:11">
      <c r="A6" t="s">
        <v>21</v>
      </c>
      <c r="B6" t="s">
        <v>12</v>
      </c>
      <c r="C6" s="15" t="s">
        <v>16</v>
      </c>
      <c r="D6" t="s">
        <v>12</v>
      </c>
      <c r="E6" s="14">
        <v>0.713</v>
      </c>
      <c r="F6" t="s">
        <v>19</v>
      </c>
      <c r="G6" s="14">
        <v>0.085</v>
      </c>
      <c r="H6" t="s">
        <v>20</v>
      </c>
      <c r="I6" s="14">
        <v>0.061</v>
      </c>
      <c r="J6">
        <f>IF(A6="","",--(B6=D6))</f>
        <v>1</v>
      </c>
      <c r="K6">
        <f>IF(A6="","",--OR(B6=D6,B6=F6,B6=H6))</f>
        <v>1</v>
      </c>
    </row>
    <row r="7" ht="16" customHeight="1" spans="1:11">
      <c r="A7" t="s">
        <v>21</v>
      </c>
      <c r="B7" t="s">
        <v>12</v>
      </c>
      <c r="C7" s="15" t="s">
        <v>18</v>
      </c>
      <c r="D7" t="s">
        <v>12</v>
      </c>
      <c r="E7" s="14">
        <v>0.615</v>
      </c>
      <c r="F7" t="s">
        <v>14</v>
      </c>
      <c r="G7" s="14">
        <v>0.202</v>
      </c>
      <c r="H7" t="s">
        <v>20</v>
      </c>
      <c r="I7" s="14">
        <v>0.079</v>
      </c>
      <c r="J7">
        <v>1</v>
      </c>
      <c r="K7">
        <v>1</v>
      </c>
    </row>
    <row r="8" spans="1:11">
      <c r="A8" t="s">
        <v>23</v>
      </c>
      <c r="B8" t="s">
        <v>12</v>
      </c>
      <c r="C8" t="s">
        <v>13</v>
      </c>
      <c r="D8" t="s">
        <v>14</v>
      </c>
      <c r="E8" s="14">
        <v>0.326</v>
      </c>
      <c r="F8" t="s">
        <v>22</v>
      </c>
      <c r="G8" s="14">
        <v>0.228</v>
      </c>
      <c r="H8" t="s">
        <v>15</v>
      </c>
      <c r="I8" s="14">
        <v>0.167</v>
      </c>
      <c r="J8">
        <f>IF(A8="","",--(B8=D8))</f>
        <v>0</v>
      </c>
      <c r="K8">
        <f>IF(A8="","",--OR(B8=D8,B8=F8,B8=H8))</f>
        <v>0</v>
      </c>
    </row>
    <row r="9" spans="1:11">
      <c r="A9" t="s">
        <v>23</v>
      </c>
      <c r="B9" t="s">
        <v>12</v>
      </c>
      <c r="C9" t="s">
        <v>16</v>
      </c>
      <c r="D9" t="s">
        <v>12</v>
      </c>
      <c r="E9" s="14">
        <v>0.695</v>
      </c>
      <c r="F9" t="s">
        <v>15</v>
      </c>
      <c r="G9" s="14">
        <v>0.081</v>
      </c>
      <c r="H9" t="s">
        <v>17</v>
      </c>
      <c r="I9" s="14">
        <v>0.053</v>
      </c>
      <c r="J9">
        <f>IF(A9="","",--(B9=D9))</f>
        <v>1</v>
      </c>
      <c r="K9">
        <f>IF(A9="","",--OR(B9=D9,B9=F9,B9=H9))</f>
        <v>1</v>
      </c>
    </row>
    <row r="10" spans="1:11">
      <c r="A10" t="s">
        <v>23</v>
      </c>
      <c r="B10" t="s">
        <v>12</v>
      </c>
      <c r="C10" t="s">
        <v>18</v>
      </c>
      <c r="D10" t="s">
        <v>12</v>
      </c>
      <c r="E10" s="14">
        <v>0.705</v>
      </c>
      <c r="F10" t="s">
        <v>20</v>
      </c>
      <c r="G10" s="14">
        <v>0.075</v>
      </c>
      <c r="H10" t="s">
        <v>17</v>
      </c>
      <c r="I10" s="14">
        <v>0.061</v>
      </c>
      <c r="J10">
        <v>1</v>
      </c>
      <c r="K10">
        <v>1</v>
      </c>
    </row>
    <row r="11" spans="1:11">
      <c r="A11" t="s">
        <v>24</v>
      </c>
      <c r="B11" t="s">
        <v>12</v>
      </c>
      <c r="C11" t="s">
        <v>13</v>
      </c>
      <c r="D11" t="s">
        <v>14</v>
      </c>
      <c r="E11" s="14">
        <v>0.323</v>
      </c>
      <c r="F11" t="s">
        <v>12</v>
      </c>
      <c r="G11" s="14">
        <v>0.301</v>
      </c>
      <c r="H11" t="s">
        <v>22</v>
      </c>
      <c r="I11" s="14">
        <v>0.132</v>
      </c>
      <c r="J11">
        <f>IF(A11="","",--(B11=D11))</f>
        <v>0</v>
      </c>
      <c r="K11">
        <f>IF(A11="","",--OR(B11=D11,B11=F11,B11=H11))</f>
        <v>1</v>
      </c>
    </row>
    <row r="12" spans="1:11">
      <c r="A12" t="s">
        <v>24</v>
      </c>
      <c r="B12" t="s">
        <v>12</v>
      </c>
      <c r="C12" t="s">
        <v>16</v>
      </c>
      <c r="D12" t="s">
        <v>12</v>
      </c>
      <c r="E12" s="14">
        <v>0.674</v>
      </c>
      <c r="F12" t="s">
        <v>20</v>
      </c>
      <c r="G12" s="14">
        <v>0.097</v>
      </c>
      <c r="H12" t="s">
        <v>17</v>
      </c>
      <c r="I12" s="14">
        <v>0.064</v>
      </c>
      <c r="J12">
        <f>IF(A12="","",--(B12=D12))</f>
        <v>1</v>
      </c>
      <c r="K12">
        <f>IF(A12="","",--OR(B12=D12,B12=F12,B12=H12))</f>
        <v>1</v>
      </c>
    </row>
    <row r="13" spans="1:11">
      <c r="A13" t="s">
        <v>24</v>
      </c>
      <c r="B13" t="s">
        <v>12</v>
      </c>
      <c r="C13" t="s">
        <v>18</v>
      </c>
      <c r="D13" t="s">
        <v>12</v>
      </c>
      <c r="E13" s="14">
        <v>0.707</v>
      </c>
      <c r="F13" t="s">
        <v>19</v>
      </c>
      <c r="G13" s="14">
        <v>0.153</v>
      </c>
      <c r="H13" t="s">
        <v>14</v>
      </c>
      <c r="I13" s="10">
        <v>0.037</v>
      </c>
      <c r="J13">
        <v>1</v>
      </c>
      <c r="K13">
        <v>1</v>
      </c>
    </row>
    <row r="14" spans="1:11">
      <c r="A14" t="s">
        <v>25</v>
      </c>
      <c r="B14" t="s">
        <v>12</v>
      </c>
      <c r="C14" t="s">
        <v>13</v>
      </c>
      <c r="D14" t="s">
        <v>22</v>
      </c>
      <c r="E14" s="14">
        <v>0.442</v>
      </c>
      <c r="F14" t="s">
        <v>14</v>
      </c>
      <c r="G14" s="14">
        <v>0.189</v>
      </c>
      <c r="H14" t="s">
        <v>17</v>
      </c>
      <c r="I14" s="10">
        <v>0.15</v>
      </c>
      <c r="J14">
        <f>IF(A14="","",--(B14=D14))</f>
        <v>0</v>
      </c>
      <c r="K14">
        <f>IF(A14="","",--OR(B14=D14,B14=F14,B14=H14))</f>
        <v>0</v>
      </c>
    </row>
    <row r="15" spans="1:11">
      <c r="A15" t="s">
        <v>25</v>
      </c>
      <c r="B15" t="s">
        <v>12</v>
      </c>
      <c r="C15" t="s">
        <v>16</v>
      </c>
      <c r="D15" t="s">
        <v>12</v>
      </c>
      <c r="E15" s="14">
        <v>0.726</v>
      </c>
      <c r="F15" t="s">
        <v>20</v>
      </c>
      <c r="G15" s="14">
        <v>0.055</v>
      </c>
      <c r="H15" t="s">
        <v>19</v>
      </c>
      <c r="I15" s="14">
        <v>0.051</v>
      </c>
      <c r="J15">
        <f>IF(A15="","",--(B15=D15))</f>
        <v>1</v>
      </c>
      <c r="K15">
        <f>IF(A15="","",--OR(B15=D15,B15=F15,B15=H15))</f>
        <v>1</v>
      </c>
    </row>
    <row r="16" spans="1:11">
      <c r="A16" t="s">
        <v>25</v>
      </c>
      <c r="B16" t="s">
        <v>12</v>
      </c>
      <c r="C16" t="s">
        <v>18</v>
      </c>
      <c r="D16" t="s">
        <v>12</v>
      </c>
      <c r="E16" s="14">
        <v>0.705</v>
      </c>
      <c r="F16" t="s">
        <v>20</v>
      </c>
      <c r="G16" s="14">
        <v>0.071</v>
      </c>
      <c r="H16" t="s">
        <v>19</v>
      </c>
      <c r="I16" s="14">
        <v>0.053</v>
      </c>
      <c r="J16">
        <v>1</v>
      </c>
      <c r="K16">
        <v>1</v>
      </c>
    </row>
    <row r="17" spans="1:11">
      <c r="A17" t="s">
        <v>26</v>
      </c>
      <c r="B17" t="s">
        <v>12</v>
      </c>
      <c r="C17" t="s">
        <v>13</v>
      </c>
      <c r="D17" t="s">
        <v>14</v>
      </c>
      <c r="E17" s="14">
        <v>0.255</v>
      </c>
      <c r="F17" t="s">
        <v>15</v>
      </c>
      <c r="G17" s="14">
        <v>0.247</v>
      </c>
      <c r="H17" t="s">
        <v>20</v>
      </c>
      <c r="I17" s="14">
        <v>0.171</v>
      </c>
      <c r="J17">
        <f>IF(A17="","",--(B17=D17))</f>
        <v>0</v>
      </c>
      <c r="K17">
        <f>IF(A17="","",--OR(B17=D17,B17=F17,B17=H17))</f>
        <v>0</v>
      </c>
    </row>
    <row r="18" spans="1:11">
      <c r="A18" t="s">
        <v>26</v>
      </c>
      <c r="B18" t="s">
        <v>12</v>
      </c>
      <c r="C18" t="s">
        <v>16</v>
      </c>
      <c r="D18" t="s">
        <v>12</v>
      </c>
      <c r="E18" s="14">
        <v>0.784</v>
      </c>
      <c r="F18" t="s">
        <v>20</v>
      </c>
      <c r="G18" s="14">
        <v>0.057</v>
      </c>
      <c r="H18" t="s">
        <v>17</v>
      </c>
      <c r="I18" s="14">
        <v>0.049</v>
      </c>
      <c r="J18">
        <f>IF(A18="","",--(B18=D18))</f>
        <v>1</v>
      </c>
      <c r="K18">
        <f>IF(A18="","",--OR(B18=D18,B18=F18,B18=H18))</f>
        <v>1</v>
      </c>
    </row>
    <row r="19" spans="1:11">
      <c r="A19" t="s">
        <v>26</v>
      </c>
      <c r="B19" t="s">
        <v>12</v>
      </c>
      <c r="C19" t="s">
        <v>18</v>
      </c>
      <c r="D19" t="s">
        <v>12</v>
      </c>
      <c r="E19" s="14">
        <v>0.739</v>
      </c>
      <c r="F19" t="s">
        <v>14</v>
      </c>
      <c r="G19" s="14">
        <v>0.07</v>
      </c>
      <c r="H19" t="s">
        <v>19</v>
      </c>
      <c r="I19" s="10">
        <v>0.066</v>
      </c>
      <c r="J19">
        <v>1</v>
      </c>
      <c r="K19">
        <v>1</v>
      </c>
    </row>
    <row r="20" spans="1:11">
      <c r="A20" t="s">
        <v>27</v>
      </c>
      <c r="B20" t="s">
        <v>12</v>
      </c>
      <c r="C20" t="s">
        <v>13</v>
      </c>
      <c r="D20" t="s">
        <v>14</v>
      </c>
      <c r="E20" s="14">
        <v>0.282</v>
      </c>
      <c r="F20" t="s">
        <v>19</v>
      </c>
      <c r="G20" s="14">
        <v>0.242</v>
      </c>
      <c r="H20" t="s">
        <v>20</v>
      </c>
      <c r="I20" s="10">
        <v>0.11</v>
      </c>
      <c r="J20">
        <f>IF(A20="","",--(B20=D20))</f>
        <v>0</v>
      </c>
      <c r="K20">
        <f>IF(A20="","",--OR(B20=D20,B20=F20,B20=H20))</f>
        <v>0</v>
      </c>
    </row>
    <row r="21" spans="1:11">
      <c r="A21" t="s">
        <v>27</v>
      </c>
      <c r="B21" t="s">
        <v>12</v>
      </c>
      <c r="C21" t="s">
        <v>16</v>
      </c>
      <c r="D21" t="s">
        <v>19</v>
      </c>
      <c r="E21" s="14">
        <v>0.312</v>
      </c>
      <c r="F21" t="s">
        <v>12</v>
      </c>
      <c r="G21" s="14">
        <v>0.282</v>
      </c>
      <c r="H21" t="s">
        <v>14</v>
      </c>
      <c r="I21" s="14">
        <v>0.188</v>
      </c>
      <c r="J21">
        <f>IF(A21="","",--(B21=D21))</f>
        <v>0</v>
      </c>
      <c r="K21">
        <f>IF(A21="","",--OR(B21=D21,B21=F21,B21=H21))</f>
        <v>1</v>
      </c>
    </row>
    <row r="22" spans="1:11">
      <c r="A22" t="s">
        <v>27</v>
      </c>
      <c r="B22" t="s">
        <v>12</v>
      </c>
      <c r="C22" t="s">
        <v>18</v>
      </c>
      <c r="D22" t="s">
        <v>12</v>
      </c>
      <c r="E22" s="14">
        <v>0.556</v>
      </c>
      <c r="F22" t="s">
        <v>19</v>
      </c>
      <c r="G22" s="14">
        <v>0.176</v>
      </c>
      <c r="H22" t="s">
        <v>14</v>
      </c>
      <c r="I22" s="14">
        <v>0.078</v>
      </c>
      <c r="J22">
        <v>1</v>
      </c>
      <c r="K22">
        <v>1</v>
      </c>
    </row>
    <row r="23" spans="1:11">
      <c r="A23" t="s">
        <v>28</v>
      </c>
      <c r="B23" t="s">
        <v>12</v>
      </c>
      <c r="C23" t="s">
        <v>13</v>
      </c>
      <c r="D23" t="s">
        <v>14</v>
      </c>
      <c r="E23" s="14">
        <v>0.643</v>
      </c>
      <c r="F23" t="s">
        <v>12</v>
      </c>
      <c r="G23" s="14">
        <v>0.151</v>
      </c>
      <c r="H23" t="s">
        <v>20</v>
      </c>
      <c r="I23" s="14">
        <v>0.084</v>
      </c>
      <c r="J23">
        <f>IF(A23="","",--(B23=D23))</f>
        <v>0</v>
      </c>
      <c r="K23">
        <f>IF(A23="","",--OR(B23=D23,B23=F23,B23=H23))</f>
        <v>1</v>
      </c>
    </row>
    <row r="24" spans="1:11">
      <c r="A24" t="s">
        <v>28</v>
      </c>
      <c r="B24" t="s">
        <v>12</v>
      </c>
      <c r="C24" t="s">
        <v>16</v>
      </c>
      <c r="D24" t="s">
        <v>12</v>
      </c>
      <c r="E24" s="14">
        <v>0.685</v>
      </c>
      <c r="F24" t="s">
        <v>20</v>
      </c>
      <c r="G24" s="14">
        <v>0.083</v>
      </c>
      <c r="H24" t="s">
        <v>15</v>
      </c>
      <c r="I24" s="14">
        <v>0.076</v>
      </c>
      <c r="J24">
        <f>IF(A24="","",--(B24=D24))</f>
        <v>1</v>
      </c>
      <c r="K24">
        <f>IF(A24="","",--OR(B24=D24,B24=F24,B24=H24))</f>
        <v>1</v>
      </c>
    </row>
    <row r="25" spans="1:11">
      <c r="A25" t="s">
        <v>28</v>
      </c>
      <c r="B25" t="s">
        <v>12</v>
      </c>
      <c r="C25" t="s">
        <v>18</v>
      </c>
      <c r="D25" t="s">
        <v>12</v>
      </c>
      <c r="E25" s="14">
        <v>0.711</v>
      </c>
      <c r="F25" t="s">
        <v>20</v>
      </c>
      <c r="G25" s="17">
        <v>0.093</v>
      </c>
      <c r="H25" t="s">
        <v>15</v>
      </c>
      <c r="I25" s="14">
        <v>0.05</v>
      </c>
      <c r="J25">
        <v>1</v>
      </c>
      <c r="K25">
        <v>1</v>
      </c>
    </row>
    <row r="26" spans="1:11">
      <c r="A26" t="s">
        <v>29</v>
      </c>
      <c r="B26" t="s">
        <v>12</v>
      </c>
      <c r="C26" t="s">
        <v>13</v>
      </c>
      <c r="D26" t="s">
        <v>19</v>
      </c>
      <c r="E26" s="14">
        <v>0.487</v>
      </c>
      <c r="F26" t="s">
        <v>15</v>
      </c>
      <c r="G26" s="14">
        <v>0.162</v>
      </c>
      <c r="H26" t="s">
        <v>14</v>
      </c>
      <c r="I26" s="14">
        <v>0.113</v>
      </c>
      <c r="J26">
        <f>IF(A26="","",--(B26=D26))</f>
        <v>0</v>
      </c>
      <c r="K26">
        <f>IF(A26="","",--OR(B26=D26,B26=F26,B26=H26))</f>
        <v>0</v>
      </c>
    </row>
    <row r="27" spans="1:11">
      <c r="A27" t="s">
        <v>29</v>
      </c>
      <c r="B27" t="s">
        <v>12</v>
      </c>
      <c r="C27" t="s">
        <v>16</v>
      </c>
      <c r="D27" t="s">
        <v>12</v>
      </c>
      <c r="E27" s="14">
        <v>0.665</v>
      </c>
      <c r="F27" t="s">
        <v>20</v>
      </c>
      <c r="G27" s="14">
        <v>0.067</v>
      </c>
      <c r="H27" t="s">
        <v>19</v>
      </c>
      <c r="I27" s="14">
        <v>0.066</v>
      </c>
      <c r="J27">
        <f>IF(A27="","",--(B27=D27))</f>
        <v>1</v>
      </c>
      <c r="K27">
        <f>IF(A27="","",--OR(B27=D27,B27=F27,B27=H27))</f>
        <v>1</v>
      </c>
    </row>
    <row r="28" spans="1:11">
      <c r="A28" t="s">
        <v>29</v>
      </c>
      <c r="B28" t="s">
        <v>12</v>
      </c>
      <c r="C28" t="s">
        <v>18</v>
      </c>
      <c r="D28" t="s">
        <v>12</v>
      </c>
      <c r="E28" s="14">
        <v>0.644</v>
      </c>
      <c r="F28" t="s">
        <v>19</v>
      </c>
      <c r="G28" s="14">
        <v>0.092</v>
      </c>
      <c r="H28" t="s">
        <v>15</v>
      </c>
      <c r="I28" s="14">
        <v>0.069</v>
      </c>
      <c r="J28">
        <v>1</v>
      </c>
      <c r="K28">
        <v>1</v>
      </c>
    </row>
    <row r="29" spans="1:11">
      <c r="A29" t="s">
        <v>30</v>
      </c>
      <c r="B29" t="s">
        <v>12</v>
      </c>
      <c r="C29" t="s">
        <v>13</v>
      </c>
      <c r="D29" t="s">
        <v>12</v>
      </c>
      <c r="E29" s="14">
        <v>0.346</v>
      </c>
      <c r="F29" t="s">
        <v>14</v>
      </c>
      <c r="G29" s="14">
        <v>0.246</v>
      </c>
      <c r="H29" t="s">
        <v>22</v>
      </c>
      <c r="I29" s="14">
        <v>0.198</v>
      </c>
      <c r="J29">
        <f>IF(A29="","",--(B29=D29))</f>
        <v>1</v>
      </c>
      <c r="K29">
        <f>IF(A29="","",--OR(B29=D29,B29=F29,B29=H29))</f>
        <v>1</v>
      </c>
    </row>
    <row r="30" spans="1:11">
      <c r="A30" t="s">
        <v>30</v>
      </c>
      <c r="B30" t="s">
        <v>12</v>
      </c>
      <c r="C30" t="s">
        <v>16</v>
      </c>
      <c r="D30" t="s">
        <v>12</v>
      </c>
      <c r="E30" s="14">
        <v>0.729</v>
      </c>
      <c r="F30" t="s">
        <v>20</v>
      </c>
      <c r="G30" s="14">
        <v>0.072</v>
      </c>
      <c r="H30" t="s">
        <v>19</v>
      </c>
      <c r="I30" s="14">
        <v>0.063</v>
      </c>
      <c r="J30">
        <f>IF(A30="","",--(B30=D30))</f>
        <v>1</v>
      </c>
      <c r="K30">
        <f>IF(A30="","",--OR(B30=D30,B30=F30,B30=H30))</f>
        <v>1</v>
      </c>
    </row>
    <row r="31" spans="1:11">
      <c r="A31" t="s">
        <v>30</v>
      </c>
      <c r="B31" t="s">
        <v>12</v>
      </c>
      <c r="C31" t="s">
        <v>18</v>
      </c>
      <c r="D31" t="s">
        <v>12</v>
      </c>
      <c r="E31" s="14">
        <v>0.785</v>
      </c>
      <c r="F31" t="s">
        <v>20</v>
      </c>
      <c r="G31" s="10">
        <v>0.06</v>
      </c>
      <c r="H31" t="s">
        <v>17</v>
      </c>
      <c r="I31" s="14">
        <v>0.046</v>
      </c>
      <c r="J31">
        <v>1</v>
      </c>
      <c r="K31">
        <v>1</v>
      </c>
    </row>
    <row r="32" spans="10:11">
      <c r="J32" t="str">
        <f t="shared" ref="J32:J41" si="0">IF(A32="","",--(B32=D32))</f>
        <v/>
      </c>
      <c r="K32" t="str">
        <f t="shared" ref="K32:K44" si="1">IF(A32="","",--OR(B32=D32,B32=F32,B32=H32))</f>
        <v/>
      </c>
    </row>
    <row r="33" spans="10:11">
      <c r="J33" t="str">
        <f t="shared" si="0"/>
        <v/>
      </c>
      <c r="K33" t="str">
        <f t="shared" si="1"/>
        <v/>
      </c>
    </row>
    <row r="34" spans="10:11">
      <c r="J34" t="str">
        <f t="shared" si="0"/>
        <v/>
      </c>
      <c r="K34" t="str">
        <f t="shared" si="1"/>
        <v/>
      </c>
    </row>
    <row r="35" spans="10:11">
      <c r="J35" t="str">
        <f t="shared" si="0"/>
        <v/>
      </c>
      <c r="K35" t="str">
        <f t="shared" si="1"/>
        <v/>
      </c>
    </row>
    <row r="36" spans="10:11">
      <c r="J36" t="str">
        <f t="shared" si="0"/>
        <v/>
      </c>
      <c r="K36" t="str">
        <f t="shared" si="1"/>
        <v/>
      </c>
    </row>
    <row r="37" spans="10:11">
      <c r="J37" t="str">
        <f t="shared" si="0"/>
        <v/>
      </c>
      <c r="K37" t="str">
        <f t="shared" si="1"/>
        <v/>
      </c>
    </row>
    <row r="38" spans="10:11">
      <c r="J38" t="str">
        <f t="shared" si="0"/>
        <v/>
      </c>
      <c r="K38" t="str">
        <f t="shared" si="1"/>
        <v/>
      </c>
    </row>
    <row r="39" spans="10:11">
      <c r="J39" t="str">
        <f t="shared" si="0"/>
        <v/>
      </c>
      <c r="K39" t="str">
        <f t="shared" si="1"/>
        <v/>
      </c>
    </row>
    <row r="40" spans="1:11">
      <c r="A40" t="s">
        <v>31</v>
      </c>
      <c r="B40" t="s">
        <v>19</v>
      </c>
      <c r="C40" t="s">
        <v>13</v>
      </c>
      <c r="D40" t="s">
        <v>19</v>
      </c>
      <c r="E40" s="14">
        <v>0.215</v>
      </c>
      <c r="F40" t="s">
        <v>22</v>
      </c>
      <c r="G40" s="14">
        <v>0.204</v>
      </c>
      <c r="H40" t="s">
        <v>20</v>
      </c>
      <c r="I40" s="14">
        <v>0.159</v>
      </c>
      <c r="J40">
        <f t="shared" si="0"/>
        <v>1</v>
      </c>
      <c r="K40">
        <f t="shared" si="1"/>
        <v>1</v>
      </c>
    </row>
    <row r="41" spans="1:11">
      <c r="A41" t="s">
        <v>31</v>
      </c>
      <c r="B41" t="s">
        <v>19</v>
      </c>
      <c r="C41" t="s">
        <v>16</v>
      </c>
      <c r="D41" t="s">
        <v>19</v>
      </c>
      <c r="E41" s="14">
        <v>0.504</v>
      </c>
      <c r="F41" t="s">
        <v>12</v>
      </c>
      <c r="G41" s="14">
        <v>0.186</v>
      </c>
      <c r="H41" t="s">
        <v>17</v>
      </c>
      <c r="I41" s="14">
        <v>0.159</v>
      </c>
      <c r="J41">
        <f t="shared" si="0"/>
        <v>1</v>
      </c>
      <c r="K41">
        <f t="shared" si="1"/>
        <v>1</v>
      </c>
    </row>
    <row r="42" spans="1:11">
      <c r="A42" t="s">
        <v>31</v>
      </c>
      <c r="B42" t="s">
        <v>19</v>
      </c>
      <c r="C42" t="s">
        <v>18</v>
      </c>
      <c r="D42" t="s">
        <v>19</v>
      </c>
      <c r="E42" s="14">
        <v>0.441</v>
      </c>
      <c r="F42" t="s">
        <v>22</v>
      </c>
      <c r="G42" s="14">
        <v>0.304</v>
      </c>
      <c r="H42" t="s">
        <v>15</v>
      </c>
      <c r="I42" s="14">
        <v>0.12</v>
      </c>
      <c r="J42">
        <v>1</v>
      </c>
      <c r="K42">
        <v>1</v>
      </c>
    </row>
    <row r="43" spans="1:11">
      <c r="A43" t="s">
        <v>32</v>
      </c>
      <c r="B43" t="s">
        <v>19</v>
      </c>
      <c r="C43" t="s">
        <v>13</v>
      </c>
      <c r="D43" t="s">
        <v>19</v>
      </c>
      <c r="E43" s="14">
        <v>0.422</v>
      </c>
      <c r="F43" t="s">
        <v>22</v>
      </c>
      <c r="G43" s="14">
        <v>0.207</v>
      </c>
      <c r="H43" t="s">
        <v>17</v>
      </c>
      <c r="I43" s="14">
        <v>0.172</v>
      </c>
      <c r="J43">
        <f>IF(A43="","",--(B43=D43))</f>
        <v>1</v>
      </c>
      <c r="K43">
        <f>IF(A43="","",--OR(B43=D43,B43=F43,B43=H43))</f>
        <v>1</v>
      </c>
    </row>
    <row r="44" spans="1:11">
      <c r="A44" t="s">
        <v>32</v>
      </c>
      <c r="B44" t="s">
        <v>19</v>
      </c>
      <c r="C44" t="s">
        <v>16</v>
      </c>
      <c r="D44" t="s">
        <v>22</v>
      </c>
      <c r="E44" s="14">
        <v>0.469</v>
      </c>
      <c r="F44" t="s">
        <v>15</v>
      </c>
      <c r="G44" s="14">
        <v>0.371</v>
      </c>
      <c r="H44" t="s">
        <v>19</v>
      </c>
      <c r="I44" s="14">
        <v>0.068</v>
      </c>
      <c r="J44">
        <f>IF(A44="","",--(B44=D44))</f>
        <v>0</v>
      </c>
      <c r="K44">
        <f>IF(A44="","",--OR(B44=D44,B44=F44,B44=H44))</f>
        <v>1</v>
      </c>
    </row>
    <row r="45" spans="1:11">
      <c r="A45" t="s">
        <v>32</v>
      </c>
      <c r="B45" t="s">
        <v>19</v>
      </c>
      <c r="C45" t="s">
        <v>18</v>
      </c>
      <c r="D45" t="s">
        <v>19</v>
      </c>
      <c r="E45" s="14">
        <v>0.359</v>
      </c>
      <c r="F45" t="s">
        <v>22</v>
      </c>
      <c r="G45" s="14">
        <v>0.289</v>
      </c>
      <c r="H45" t="s">
        <v>12</v>
      </c>
      <c r="I45" s="14">
        <v>0.136</v>
      </c>
      <c r="J45">
        <v>1</v>
      </c>
      <c r="K45">
        <v>1</v>
      </c>
    </row>
    <row r="46" spans="1:11">
      <c r="A46" t="s">
        <v>33</v>
      </c>
      <c r="B46" t="s">
        <v>19</v>
      </c>
      <c r="C46" t="s">
        <v>13</v>
      </c>
      <c r="D46" t="s">
        <v>12</v>
      </c>
      <c r="E46" s="14">
        <v>0.356</v>
      </c>
      <c r="F46" t="s">
        <v>19</v>
      </c>
      <c r="G46" s="14">
        <v>0.295</v>
      </c>
      <c r="H46" t="s">
        <v>22</v>
      </c>
      <c r="I46" s="14">
        <v>0.256</v>
      </c>
      <c r="J46">
        <f>IF(A46="","",--(B46=D46))</f>
        <v>0</v>
      </c>
      <c r="K46">
        <f>IF(A46="","",--OR(B46=D46,B46=F46,B46=H46))</f>
        <v>1</v>
      </c>
    </row>
    <row r="47" spans="1:11">
      <c r="A47" t="s">
        <v>33</v>
      </c>
      <c r="B47" t="s">
        <v>19</v>
      </c>
      <c r="C47" t="s">
        <v>16</v>
      </c>
      <c r="D47" t="s">
        <v>19</v>
      </c>
      <c r="E47" s="14">
        <v>0.895</v>
      </c>
      <c r="F47" t="s">
        <v>14</v>
      </c>
      <c r="G47" s="14">
        <v>0.053</v>
      </c>
      <c r="H47" t="s">
        <v>12</v>
      </c>
      <c r="I47" s="14">
        <v>0.016</v>
      </c>
      <c r="J47">
        <f>IF(A47="","",--(B47=D47))</f>
        <v>1</v>
      </c>
      <c r="K47">
        <f>IF(A47="","",--OR(B47=D47,B47=F47,B47=H47))</f>
        <v>1</v>
      </c>
    </row>
    <row r="48" spans="1:11">
      <c r="A48" t="s">
        <v>33</v>
      </c>
      <c r="B48" t="s">
        <v>19</v>
      </c>
      <c r="C48" t="s">
        <v>18</v>
      </c>
      <c r="D48" t="s">
        <v>19</v>
      </c>
      <c r="E48" s="14">
        <v>0.845</v>
      </c>
      <c r="F48" t="s">
        <v>12</v>
      </c>
      <c r="G48" s="14">
        <v>0.075</v>
      </c>
      <c r="H48" t="s">
        <v>17</v>
      </c>
      <c r="I48" s="14">
        <v>0.031</v>
      </c>
      <c r="J48">
        <v>1</v>
      </c>
      <c r="K48">
        <v>1</v>
      </c>
    </row>
    <row r="49" spans="1:11">
      <c r="A49" t="s">
        <v>34</v>
      </c>
      <c r="B49" t="s">
        <v>19</v>
      </c>
      <c r="C49" t="s">
        <v>13</v>
      </c>
      <c r="D49" t="s">
        <v>19</v>
      </c>
      <c r="E49" s="14">
        <v>0.629</v>
      </c>
      <c r="F49" t="s">
        <v>15</v>
      </c>
      <c r="G49" s="14">
        <v>0.089</v>
      </c>
      <c r="H49" t="s">
        <v>22</v>
      </c>
      <c r="I49" s="14">
        <v>0.088</v>
      </c>
      <c r="J49">
        <f>IF(A49="","",--(B49=D49))</f>
        <v>1</v>
      </c>
      <c r="K49">
        <f>IF(A49="","",--OR(B49=D49,B49=F49,B49=H49))</f>
        <v>1</v>
      </c>
    </row>
    <row r="50" spans="1:11">
      <c r="A50" t="s">
        <v>34</v>
      </c>
      <c r="B50" t="s">
        <v>19</v>
      </c>
      <c r="C50" t="s">
        <v>16</v>
      </c>
      <c r="D50" t="s">
        <v>19</v>
      </c>
      <c r="E50" s="14">
        <v>0.629</v>
      </c>
      <c r="F50" t="s">
        <v>15</v>
      </c>
      <c r="G50" s="14">
        <v>0.089</v>
      </c>
      <c r="H50" t="s">
        <v>22</v>
      </c>
      <c r="I50" s="14">
        <v>0.088</v>
      </c>
      <c r="J50">
        <f>IF(A50="","",--(B50=D50))</f>
        <v>1</v>
      </c>
      <c r="K50">
        <f>IF(A50="","",--OR(B50=D50,B50=F50,B50=H50))</f>
        <v>1</v>
      </c>
    </row>
    <row r="51" spans="1:11">
      <c r="A51" t="s">
        <v>34</v>
      </c>
      <c r="B51" t="s">
        <v>19</v>
      </c>
      <c r="C51" t="s">
        <v>18</v>
      </c>
      <c r="D51" t="s">
        <v>22</v>
      </c>
      <c r="E51" s="14">
        <v>0.334</v>
      </c>
      <c r="F51" t="s">
        <v>19</v>
      </c>
      <c r="G51" s="14">
        <v>0.298</v>
      </c>
      <c r="H51" t="s">
        <v>12</v>
      </c>
      <c r="I51" s="14">
        <v>0.162</v>
      </c>
      <c r="J51">
        <v>0</v>
      </c>
      <c r="K51">
        <v>1</v>
      </c>
    </row>
    <row r="52" spans="1:11">
      <c r="A52" t="s">
        <v>35</v>
      </c>
      <c r="B52" t="s">
        <v>19</v>
      </c>
      <c r="C52" t="s">
        <v>13</v>
      </c>
      <c r="D52" t="s">
        <v>19</v>
      </c>
      <c r="E52" s="14">
        <v>0.333</v>
      </c>
      <c r="F52" t="s">
        <v>15</v>
      </c>
      <c r="G52" s="14">
        <v>0.258</v>
      </c>
      <c r="H52" t="s">
        <v>20</v>
      </c>
      <c r="I52" s="14">
        <v>0.121</v>
      </c>
      <c r="J52">
        <f>IF(A52="","",--(B52=D52))</f>
        <v>1</v>
      </c>
      <c r="K52">
        <f>IF(A52="","",--OR(B52=D52,B52=F52,B52=H52))</f>
        <v>1</v>
      </c>
    </row>
    <row r="53" spans="1:11">
      <c r="A53" t="s">
        <v>35</v>
      </c>
      <c r="B53" t="s">
        <v>19</v>
      </c>
      <c r="C53" t="s">
        <v>16</v>
      </c>
      <c r="D53" t="s">
        <v>19</v>
      </c>
      <c r="E53" s="14">
        <v>0.724</v>
      </c>
      <c r="F53" t="s">
        <v>15</v>
      </c>
      <c r="G53" s="14">
        <v>0.123</v>
      </c>
      <c r="H53" t="s">
        <v>12</v>
      </c>
      <c r="I53" s="14">
        <v>0.08</v>
      </c>
      <c r="J53">
        <f>IF(A53="","",--(B53=D53))</f>
        <v>1</v>
      </c>
      <c r="K53">
        <f>IF(A53="","",--OR(B53=D53,B53=F53,B53=H53))</f>
        <v>1</v>
      </c>
    </row>
    <row r="54" spans="1:11">
      <c r="A54" t="s">
        <v>35</v>
      </c>
      <c r="B54" t="s">
        <v>19</v>
      </c>
      <c r="C54" t="s">
        <v>18</v>
      </c>
      <c r="D54" t="s">
        <v>19</v>
      </c>
      <c r="E54" s="14">
        <v>0.598</v>
      </c>
      <c r="F54" t="s">
        <v>15</v>
      </c>
      <c r="G54" s="10">
        <v>0.195</v>
      </c>
      <c r="H54" t="s">
        <v>22</v>
      </c>
      <c r="I54" s="14">
        <v>0.094</v>
      </c>
      <c r="J54">
        <v>1</v>
      </c>
      <c r="K54">
        <v>1</v>
      </c>
    </row>
    <row r="55" spans="1:11">
      <c r="A55" t="s">
        <v>36</v>
      </c>
      <c r="B55" t="s">
        <v>19</v>
      </c>
      <c r="C55" t="s">
        <v>13</v>
      </c>
      <c r="D55" t="s">
        <v>15</v>
      </c>
      <c r="E55" s="14">
        <v>0.192</v>
      </c>
      <c r="F55" t="s">
        <v>14</v>
      </c>
      <c r="G55" s="10">
        <v>0.19</v>
      </c>
      <c r="H55" t="s">
        <v>19</v>
      </c>
      <c r="I55" s="14">
        <v>0.169</v>
      </c>
      <c r="J55">
        <f>IF(A55="","",--(B55=D55))</f>
        <v>0</v>
      </c>
      <c r="K55">
        <f>IF(A55="","",--OR(B55=D55,B55=F55,B55=H55))</f>
        <v>1</v>
      </c>
    </row>
    <row r="56" spans="1:11">
      <c r="A56" t="s">
        <v>36</v>
      </c>
      <c r="B56" t="s">
        <v>19</v>
      </c>
      <c r="C56" t="s">
        <v>16</v>
      </c>
      <c r="D56" t="s">
        <v>22</v>
      </c>
      <c r="E56" s="14">
        <v>0.314</v>
      </c>
      <c r="F56" t="s">
        <v>15</v>
      </c>
      <c r="G56" s="14">
        <v>0.217</v>
      </c>
      <c r="H56" t="s">
        <v>19</v>
      </c>
      <c r="I56" s="10">
        <v>0.21</v>
      </c>
      <c r="J56">
        <f>IF(A56="","",--(B56=D56))</f>
        <v>0</v>
      </c>
      <c r="K56">
        <f>IF(A56="","",--OR(B56=D56,B56=F56,B56=H56))</f>
        <v>1</v>
      </c>
    </row>
    <row r="57" spans="1:11">
      <c r="A57" t="s">
        <v>36</v>
      </c>
      <c r="B57" t="s">
        <v>19</v>
      </c>
      <c r="C57" t="s">
        <v>18</v>
      </c>
      <c r="D57" t="s">
        <v>15</v>
      </c>
      <c r="E57" s="14">
        <v>0.545</v>
      </c>
      <c r="F57" t="s">
        <v>19</v>
      </c>
      <c r="G57" s="14">
        <v>0.219</v>
      </c>
      <c r="H57" t="s">
        <v>12</v>
      </c>
      <c r="I57" s="14">
        <v>0.089</v>
      </c>
      <c r="J57">
        <v>0</v>
      </c>
      <c r="K57">
        <v>1</v>
      </c>
    </row>
    <row r="58" spans="1:11">
      <c r="A58" t="s">
        <v>37</v>
      </c>
      <c r="B58" t="s">
        <v>19</v>
      </c>
      <c r="C58" t="s">
        <v>13</v>
      </c>
      <c r="D58" t="s">
        <v>19</v>
      </c>
      <c r="E58" s="14">
        <v>0.418</v>
      </c>
      <c r="F58" t="s">
        <v>12</v>
      </c>
      <c r="G58" s="14">
        <v>0.352</v>
      </c>
      <c r="H58" t="s">
        <v>22</v>
      </c>
      <c r="I58" s="14">
        <v>0.137</v>
      </c>
      <c r="J58">
        <f>IF(A58="","",--(B58=D58))</f>
        <v>1</v>
      </c>
      <c r="K58">
        <f>IF(A58="","",--OR(B58=D58,B58=F58,B58=H58))</f>
        <v>1</v>
      </c>
    </row>
    <row r="59" spans="1:11">
      <c r="A59" t="s">
        <v>37</v>
      </c>
      <c r="B59" t="s">
        <v>19</v>
      </c>
      <c r="C59" t="s">
        <v>16</v>
      </c>
      <c r="D59" t="s">
        <v>12</v>
      </c>
      <c r="E59" s="14">
        <v>0.395</v>
      </c>
      <c r="F59" t="s">
        <v>19</v>
      </c>
      <c r="G59" s="14">
        <v>0.359</v>
      </c>
      <c r="H59" t="s">
        <v>14</v>
      </c>
      <c r="I59" s="14">
        <v>0.104</v>
      </c>
      <c r="J59">
        <f>IF(A59="","",--(B59=D59))</f>
        <v>0</v>
      </c>
      <c r="K59">
        <f>IF(A59="","",--OR(B59=D59,B59=F59,B59=H59))</f>
        <v>1</v>
      </c>
    </row>
    <row r="60" spans="1:11">
      <c r="A60" t="s">
        <v>37</v>
      </c>
      <c r="B60" t="s">
        <v>19</v>
      </c>
      <c r="C60" t="s">
        <v>18</v>
      </c>
      <c r="D60" t="s">
        <v>19</v>
      </c>
      <c r="E60" s="14">
        <v>0.514</v>
      </c>
      <c r="F60" t="s">
        <v>12</v>
      </c>
      <c r="G60" s="14">
        <v>0.229</v>
      </c>
      <c r="H60" t="s">
        <v>22</v>
      </c>
      <c r="I60" s="10">
        <v>0.11</v>
      </c>
      <c r="J60">
        <v>1</v>
      </c>
      <c r="K60">
        <v>1</v>
      </c>
    </row>
    <row r="61" spans="1:11">
      <c r="A61" t="s">
        <v>38</v>
      </c>
      <c r="B61" t="s">
        <v>19</v>
      </c>
      <c r="C61" t="s">
        <v>13</v>
      </c>
      <c r="D61" t="s">
        <v>14</v>
      </c>
      <c r="E61" s="14">
        <v>0.651</v>
      </c>
      <c r="F61" t="s">
        <v>22</v>
      </c>
      <c r="G61" s="14">
        <v>0.165</v>
      </c>
      <c r="H61" t="s">
        <v>20</v>
      </c>
      <c r="I61" s="10">
        <v>0.06</v>
      </c>
      <c r="J61">
        <f>IF(A61="","",--(B61=D61))</f>
        <v>0</v>
      </c>
      <c r="K61">
        <f>IF(A61="","",--OR(B61=D61,B61=F61,B61=H61))</f>
        <v>0</v>
      </c>
    </row>
    <row r="62" spans="1:11">
      <c r="A62" t="s">
        <v>38</v>
      </c>
      <c r="B62" t="s">
        <v>19</v>
      </c>
      <c r="C62" t="s">
        <v>16</v>
      </c>
      <c r="D62" t="s">
        <v>19</v>
      </c>
      <c r="E62" s="14">
        <v>0.432</v>
      </c>
      <c r="F62" t="s">
        <v>22</v>
      </c>
      <c r="G62" s="14">
        <v>0.372</v>
      </c>
      <c r="H62" t="s">
        <v>15</v>
      </c>
      <c r="I62" s="14">
        <v>0.083</v>
      </c>
      <c r="J62">
        <f>IF(A62="","",--(B62=D62))</f>
        <v>1</v>
      </c>
      <c r="K62">
        <f>IF(A62="","",--OR(B62=D62,B62=F62,B62=H62))</f>
        <v>1</v>
      </c>
    </row>
    <row r="63" spans="1:11">
      <c r="A63" t="s">
        <v>38</v>
      </c>
      <c r="B63" t="s">
        <v>19</v>
      </c>
      <c r="C63" t="s">
        <v>18</v>
      </c>
      <c r="D63" t="s">
        <v>22</v>
      </c>
      <c r="E63" s="14">
        <v>0.377</v>
      </c>
      <c r="F63" t="s">
        <v>19</v>
      </c>
      <c r="G63" s="14">
        <v>0.312</v>
      </c>
      <c r="H63" t="s">
        <v>15</v>
      </c>
      <c r="I63" s="14">
        <v>0.178</v>
      </c>
      <c r="J63">
        <v>0</v>
      </c>
      <c r="K63">
        <v>1</v>
      </c>
    </row>
    <row r="64" spans="1:11">
      <c r="A64" t="s">
        <v>39</v>
      </c>
      <c r="B64" t="s">
        <v>19</v>
      </c>
      <c r="C64" t="s">
        <v>13</v>
      </c>
      <c r="D64" t="s">
        <v>14</v>
      </c>
      <c r="E64" s="14">
        <v>0.214</v>
      </c>
      <c r="F64" t="s">
        <v>22</v>
      </c>
      <c r="G64" s="14">
        <v>0.201</v>
      </c>
      <c r="H64" t="s">
        <v>17</v>
      </c>
      <c r="I64" s="14">
        <v>0.195</v>
      </c>
      <c r="J64">
        <f>IF(A64="","",--(B64=D64))</f>
        <v>0</v>
      </c>
      <c r="K64">
        <f>IF(A64="","",--OR(B64=D64,B64=F64,B64=H64))</f>
        <v>0</v>
      </c>
    </row>
    <row r="65" spans="1:11">
      <c r="A65" t="s">
        <v>39</v>
      </c>
      <c r="B65" t="s">
        <v>19</v>
      </c>
      <c r="C65" t="s">
        <v>16</v>
      </c>
      <c r="D65" t="s">
        <v>19</v>
      </c>
      <c r="E65" s="14">
        <v>0.625</v>
      </c>
      <c r="F65" t="s">
        <v>15</v>
      </c>
      <c r="G65" s="10">
        <v>0.16</v>
      </c>
      <c r="H65" t="s">
        <v>22</v>
      </c>
      <c r="I65" s="10">
        <v>0.08</v>
      </c>
      <c r="J65">
        <f>IF(A65="","",--(B65=D65))</f>
        <v>1</v>
      </c>
      <c r="K65">
        <f>IF(A65="","",--OR(B65=D65,B65=F65,B65=H65))</f>
        <v>1</v>
      </c>
    </row>
    <row r="66" spans="1:11">
      <c r="A66" t="s">
        <v>39</v>
      </c>
      <c r="B66" t="s">
        <v>19</v>
      </c>
      <c r="C66" t="s">
        <v>18</v>
      </c>
      <c r="D66" t="s">
        <v>19</v>
      </c>
      <c r="E66" s="10">
        <v>0.653</v>
      </c>
      <c r="F66" t="s">
        <v>15</v>
      </c>
      <c r="G66" s="14">
        <v>0.169</v>
      </c>
      <c r="H66" t="s">
        <v>22</v>
      </c>
      <c r="I66" s="14">
        <v>0.111</v>
      </c>
      <c r="J66">
        <v>1</v>
      </c>
      <c r="K66">
        <v>1</v>
      </c>
    </row>
    <row r="67" spans="1:11">
      <c r="A67" t="s">
        <v>40</v>
      </c>
      <c r="B67" t="s">
        <v>19</v>
      </c>
      <c r="C67" t="s">
        <v>13</v>
      </c>
      <c r="D67" t="s">
        <v>14</v>
      </c>
      <c r="E67" s="10">
        <v>0.28</v>
      </c>
      <c r="F67" t="s">
        <v>19</v>
      </c>
      <c r="G67" s="14">
        <v>0.182</v>
      </c>
      <c r="H67" t="s">
        <v>17</v>
      </c>
      <c r="I67" s="14">
        <v>0.181</v>
      </c>
      <c r="J67">
        <f t="shared" ref="J67:J79" si="2">IF(A67="","",--(B67=D67))</f>
        <v>0</v>
      </c>
      <c r="K67">
        <f t="shared" ref="K67:K85" si="3">IF(A67="","",--OR(B67=D67,B67=F67,B67=H67))</f>
        <v>1</v>
      </c>
    </row>
    <row r="68" spans="1:11">
      <c r="A68" t="s">
        <v>40</v>
      </c>
      <c r="B68" t="s">
        <v>19</v>
      </c>
      <c r="C68" t="s">
        <v>16</v>
      </c>
      <c r="D68" t="s">
        <v>19</v>
      </c>
      <c r="E68" s="14">
        <v>0.461</v>
      </c>
      <c r="F68" t="s">
        <v>22</v>
      </c>
      <c r="G68" s="14">
        <v>0.277</v>
      </c>
      <c r="H68" t="s">
        <v>15</v>
      </c>
      <c r="I68" s="14">
        <v>0.128</v>
      </c>
      <c r="J68">
        <f t="shared" si="2"/>
        <v>1</v>
      </c>
      <c r="K68">
        <f t="shared" si="3"/>
        <v>1</v>
      </c>
    </row>
    <row r="69" spans="1:11">
      <c r="A69" t="s">
        <v>40</v>
      </c>
      <c r="B69" t="s">
        <v>19</v>
      </c>
      <c r="C69" t="s">
        <v>18</v>
      </c>
      <c r="D69" t="s">
        <v>19</v>
      </c>
      <c r="E69" s="14">
        <v>0.578</v>
      </c>
      <c r="F69" t="s">
        <v>15</v>
      </c>
      <c r="G69" s="14">
        <v>0.269</v>
      </c>
      <c r="H69" t="s">
        <v>22</v>
      </c>
      <c r="I69" s="14">
        <v>0.074</v>
      </c>
      <c r="J69">
        <f t="shared" si="2"/>
        <v>1</v>
      </c>
      <c r="K69">
        <f t="shared" si="3"/>
        <v>1</v>
      </c>
    </row>
    <row r="70" spans="10:11">
      <c r="J70" t="str">
        <f t="shared" si="2"/>
        <v/>
      </c>
      <c r="K70" t="str">
        <f t="shared" si="3"/>
        <v/>
      </c>
    </row>
    <row r="71" spans="10:11">
      <c r="J71" t="str">
        <f t="shared" si="2"/>
        <v/>
      </c>
      <c r="K71" t="str">
        <f t="shared" si="3"/>
        <v/>
      </c>
    </row>
    <row r="72" spans="10:11">
      <c r="J72" t="str">
        <f t="shared" si="2"/>
        <v/>
      </c>
      <c r="K72" t="str">
        <f t="shared" si="3"/>
        <v/>
      </c>
    </row>
    <row r="73" spans="10:11">
      <c r="J73" t="str">
        <f t="shared" si="2"/>
        <v/>
      </c>
      <c r="K73" t="str">
        <f t="shared" si="3"/>
        <v/>
      </c>
    </row>
    <row r="74" spans="10:11">
      <c r="J74" t="str">
        <f t="shared" si="2"/>
        <v/>
      </c>
      <c r="K74" t="str">
        <f t="shared" si="3"/>
        <v/>
      </c>
    </row>
    <row r="75" spans="10:11">
      <c r="J75" t="str">
        <f t="shared" si="2"/>
        <v/>
      </c>
      <c r="K75" t="str">
        <f t="shared" si="3"/>
        <v/>
      </c>
    </row>
    <row r="76" spans="10:11">
      <c r="J76" t="str">
        <f t="shared" si="2"/>
        <v/>
      </c>
      <c r="K76" t="str">
        <f t="shared" si="3"/>
        <v/>
      </c>
    </row>
    <row r="77" spans="10:11">
      <c r="J77" t="str">
        <f t="shared" si="2"/>
        <v/>
      </c>
      <c r="K77" t="str">
        <f t="shared" si="3"/>
        <v/>
      </c>
    </row>
    <row r="78" spans="1:11">
      <c r="A78" t="s">
        <v>41</v>
      </c>
      <c r="B78" t="s">
        <v>17</v>
      </c>
      <c r="C78" t="s">
        <v>13</v>
      </c>
      <c r="D78" t="s">
        <v>12</v>
      </c>
      <c r="E78" s="14">
        <v>0.283</v>
      </c>
      <c r="F78" t="s">
        <v>20</v>
      </c>
      <c r="G78" s="14">
        <v>0.272</v>
      </c>
      <c r="H78" t="s">
        <v>14</v>
      </c>
      <c r="I78" s="14">
        <v>0.211</v>
      </c>
      <c r="J78">
        <f t="shared" si="2"/>
        <v>0</v>
      </c>
      <c r="K78">
        <f t="shared" si="3"/>
        <v>0</v>
      </c>
    </row>
    <row r="79" spans="1:11">
      <c r="A79" t="s">
        <v>41</v>
      </c>
      <c r="B79" t="s">
        <v>17</v>
      </c>
      <c r="C79" t="s">
        <v>16</v>
      </c>
      <c r="D79" t="s">
        <v>15</v>
      </c>
      <c r="E79" s="14">
        <v>0.654</v>
      </c>
      <c r="F79" t="s">
        <v>22</v>
      </c>
      <c r="G79" s="14">
        <v>0.175</v>
      </c>
      <c r="H79" t="s">
        <v>12</v>
      </c>
      <c r="I79" s="14">
        <v>0.087</v>
      </c>
      <c r="J79">
        <f t="shared" si="2"/>
        <v>0</v>
      </c>
      <c r="K79">
        <f t="shared" si="3"/>
        <v>0</v>
      </c>
    </row>
    <row r="80" spans="1:11">
      <c r="A80" t="s">
        <v>41</v>
      </c>
      <c r="B80" t="s">
        <v>17</v>
      </c>
      <c r="C80" t="s">
        <v>18</v>
      </c>
      <c r="D80" t="s">
        <v>12</v>
      </c>
      <c r="E80" s="14">
        <v>0.498</v>
      </c>
      <c r="F80" t="s">
        <v>19</v>
      </c>
      <c r="G80" s="14">
        <v>0.153</v>
      </c>
      <c r="H80" t="s">
        <v>22</v>
      </c>
      <c r="I80" s="10">
        <v>0.136</v>
      </c>
      <c r="J80">
        <v>0</v>
      </c>
      <c r="K80">
        <v>0</v>
      </c>
    </row>
    <row r="81" spans="1:11">
      <c r="A81" t="s">
        <v>42</v>
      </c>
      <c r="B81" t="s">
        <v>17</v>
      </c>
      <c r="C81" t="s">
        <v>13</v>
      </c>
      <c r="D81" t="s">
        <v>14</v>
      </c>
      <c r="E81" s="14">
        <v>0.338</v>
      </c>
      <c r="F81" t="s">
        <v>19</v>
      </c>
      <c r="G81" s="14">
        <v>0.241</v>
      </c>
      <c r="H81" t="s">
        <v>20</v>
      </c>
      <c r="I81" s="10">
        <v>0.15</v>
      </c>
      <c r="J81">
        <f>IF(A81="","",--(B81=D81))</f>
        <v>0</v>
      </c>
      <c r="K81">
        <f>IF(A81="","",--OR(B81=D81,B81=F81,B81=H81))</f>
        <v>0</v>
      </c>
    </row>
    <row r="82" spans="1:11">
      <c r="A82" t="s">
        <v>42</v>
      </c>
      <c r="B82" t="s">
        <v>17</v>
      </c>
      <c r="C82" t="s">
        <v>16</v>
      </c>
      <c r="D82" t="s">
        <v>15</v>
      </c>
      <c r="E82" s="14">
        <v>0.427</v>
      </c>
      <c r="F82" t="s">
        <v>19</v>
      </c>
      <c r="G82" s="14">
        <v>0.293</v>
      </c>
      <c r="H82" t="s">
        <v>22</v>
      </c>
      <c r="I82" s="10">
        <v>0.1</v>
      </c>
      <c r="J82">
        <f>IF(A82="","",--(B82=D82))</f>
        <v>0</v>
      </c>
      <c r="K82">
        <f>IF(A82="","",--OR(B82=D82,B82=F82,B82=H82))</f>
        <v>0</v>
      </c>
    </row>
    <row r="83" spans="1:11">
      <c r="A83" t="s">
        <v>42</v>
      </c>
      <c r="B83" t="s">
        <v>17</v>
      </c>
      <c r="C83" t="s">
        <v>18</v>
      </c>
      <c r="D83" t="s">
        <v>19</v>
      </c>
      <c r="E83" s="14">
        <v>0.418</v>
      </c>
      <c r="F83" t="s">
        <v>15</v>
      </c>
      <c r="G83" s="14">
        <v>0.375</v>
      </c>
      <c r="H83" t="s">
        <v>22</v>
      </c>
      <c r="I83" s="14">
        <v>0.073</v>
      </c>
      <c r="J83">
        <v>0</v>
      </c>
      <c r="K83">
        <v>0</v>
      </c>
    </row>
    <row r="84" spans="1:11">
      <c r="A84" t="s">
        <v>43</v>
      </c>
      <c r="B84" t="s">
        <v>17</v>
      </c>
      <c r="C84" t="s">
        <v>13</v>
      </c>
      <c r="D84" t="s">
        <v>12</v>
      </c>
      <c r="E84" s="14">
        <v>0.307</v>
      </c>
      <c r="F84" t="s">
        <v>14</v>
      </c>
      <c r="G84" s="14">
        <v>0.289</v>
      </c>
      <c r="H84" t="s">
        <v>15</v>
      </c>
      <c r="I84" s="14">
        <v>0.162</v>
      </c>
      <c r="J84">
        <f>IF(A84="","",--(B84=D84))</f>
        <v>0</v>
      </c>
      <c r="K84">
        <f>IF(A84="","",--OR(B84=D84,B84=F84,B84=H84))</f>
        <v>0</v>
      </c>
    </row>
    <row r="85" spans="1:11">
      <c r="A85" t="s">
        <v>43</v>
      </c>
      <c r="B85" t="s">
        <v>17</v>
      </c>
      <c r="C85" t="s">
        <v>16</v>
      </c>
      <c r="D85" t="s">
        <v>12</v>
      </c>
      <c r="E85" s="14">
        <v>0.636</v>
      </c>
      <c r="F85" t="s">
        <v>19</v>
      </c>
      <c r="G85" s="14">
        <v>0.132</v>
      </c>
      <c r="H85" t="s">
        <v>15</v>
      </c>
      <c r="I85" s="14">
        <v>0.118</v>
      </c>
      <c r="J85">
        <f>IF(A85="","",--(B85=D85))</f>
        <v>0</v>
      </c>
      <c r="K85">
        <f>IF(A85="","",--OR(B85=D85,B85=F85,B85=H85))</f>
        <v>0</v>
      </c>
    </row>
    <row r="86" spans="1:11">
      <c r="A86" t="s">
        <v>43</v>
      </c>
      <c r="B86" t="s">
        <v>17</v>
      </c>
      <c r="C86" t="s">
        <v>18</v>
      </c>
      <c r="D86" t="s">
        <v>12</v>
      </c>
      <c r="E86" s="14">
        <v>0.571</v>
      </c>
      <c r="F86" t="s">
        <v>19</v>
      </c>
      <c r="G86" s="14">
        <v>0.271</v>
      </c>
      <c r="H86" t="s">
        <v>15</v>
      </c>
      <c r="I86" s="10">
        <v>0.064</v>
      </c>
      <c r="J86">
        <v>0</v>
      </c>
      <c r="K86">
        <v>0</v>
      </c>
    </row>
    <row r="87" spans="1:11">
      <c r="A87" t="s">
        <v>44</v>
      </c>
      <c r="B87" t="s">
        <v>17</v>
      </c>
      <c r="C87" t="s">
        <v>13</v>
      </c>
      <c r="D87" t="s">
        <v>14</v>
      </c>
      <c r="E87" s="14">
        <v>0.551</v>
      </c>
      <c r="F87" t="s">
        <v>19</v>
      </c>
      <c r="G87" s="14">
        <v>0.241</v>
      </c>
      <c r="H87" t="s">
        <v>22</v>
      </c>
      <c r="I87" s="10">
        <v>0.08</v>
      </c>
      <c r="J87">
        <f>IF(A87="","",--(B87=D87))</f>
        <v>0</v>
      </c>
      <c r="K87">
        <f>IF(A87="","",--OR(B87=D87,B87=F87,B87=H87))</f>
        <v>0</v>
      </c>
    </row>
    <row r="88" spans="1:11">
      <c r="A88" t="s">
        <v>44</v>
      </c>
      <c r="B88" t="s">
        <v>17</v>
      </c>
      <c r="C88" t="s">
        <v>16</v>
      </c>
      <c r="D88" t="s">
        <v>19</v>
      </c>
      <c r="E88" s="14">
        <v>0.391</v>
      </c>
      <c r="F88" t="s">
        <v>15</v>
      </c>
      <c r="G88" s="14">
        <v>0.339</v>
      </c>
      <c r="H88" t="s">
        <v>22</v>
      </c>
      <c r="I88" s="14">
        <v>0.125</v>
      </c>
      <c r="J88">
        <f>IF(A88="","",--(B88=D88))</f>
        <v>0</v>
      </c>
      <c r="K88">
        <f>IF(A88="","",--OR(B88=D88,B88=F88,B88=H88))</f>
        <v>0</v>
      </c>
    </row>
    <row r="89" spans="1:11">
      <c r="A89" t="s">
        <v>44</v>
      </c>
      <c r="B89" t="s">
        <v>17</v>
      </c>
      <c r="C89" t="s">
        <v>18</v>
      </c>
      <c r="D89" t="s">
        <v>15</v>
      </c>
      <c r="E89" s="14">
        <v>0.737</v>
      </c>
      <c r="F89" t="s">
        <v>19</v>
      </c>
      <c r="G89" s="10">
        <v>0.114</v>
      </c>
      <c r="H89" t="s">
        <v>22</v>
      </c>
      <c r="I89" s="14">
        <v>0.04</v>
      </c>
      <c r="J89">
        <v>0</v>
      </c>
      <c r="K89">
        <v>0</v>
      </c>
    </row>
    <row r="90" spans="1:11">
      <c r="A90" t="s">
        <v>45</v>
      </c>
      <c r="B90" t="s">
        <v>17</v>
      </c>
      <c r="C90" t="s">
        <v>13</v>
      </c>
      <c r="D90" t="s">
        <v>14</v>
      </c>
      <c r="E90" s="14">
        <v>0.381</v>
      </c>
      <c r="F90" t="s">
        <v>12</v>
      </c>
      <c r="G90" s="10">
        <v>0.19</v>
      </c>
      <c r="H90" t="s">
        <v>19</v>
      </c>
      <c r="I90" s="14">
        <v>0.179</v>
      </c>
      <c r="J90">
        <f>IF(A90="","",--(B90=D90))</f>
        <v>0</v>
      </c>
      <c r="K90">
        <f>IF(A90="","",--OR(B90=D90,B90=F90,B90=H90))</f>
        <v>0</v>
      </c>
    </row>
    <row r="91" spans="1:11">
      <c r="A91" t="s">
        <v>45</v>
      </c>
      <c r="B91" t="s">
        <v>17</v>
      </c>
      <c r="C91" t="s">
        <v>16</v>
      </c>
      <c r="D91" t="s">
        <v>22</v>
      </c>
      <c r="E91" s="10">
        <v>0.55</v>
      </c>
      <c r="F91" t="s">
        <v>12</v>
      </c>
      <c r="G91" s="14">
        <v>0.149</v>
      </c>
      <c r="H91" t="s">
        <v>15</v>
      </c>
      <c r="I91" s="14">
        <v>0.125</v>
      </c>
      <c r="J91">
        <f>IF(A91="","",--(B91=D91))</f>
        <v>0</v>
      </c>
      <c r="K91">
        <f>IF(A91="","",--OR(B91=D91,B91=F91,B91=H91))</f>
        <v>0</v>
      </c>
    </row>
    <row r="92" spans="1:11">
      <c r="A92" t="s">
        <v>45</v>
      </c>
      <c r="B92" t="s">
        <v>17</v>
      </c>
      <c r="C92" t="s">
        <v>18</v>
      </c>
      <c r="D92" t="s">
        <v>19</v>
      </c>
      <c r="E92" s="10">
        <v>0.682</v>
      </c>
      <c r="F92" t="s">
        <v>12</v>
      </c>
      <c r="G92" s="10">
        <v>0.15</v>
      </c>
      <c r="H92" t="s">
        <v>17</v>
      </c>
      <c r="I92" s="14">
        <v>0.06</v>
      </c>
      <c r="J92">
        <v>0</v>
      </c>
      <c r="K92">
        <v>1</v>
      </c>
    </row>
    <row r="93" spans="1:11">
      <c r="A93" t="s">
        <v>46</v>
      </c>
      <c r="B93" t="s">
        <v>17</v>
      </c>
      <c r="C93" t="s">
        <v>13</v>
      </c>
      <c r="D93" t="s">
        <v>12</v>
      </c>
      <c r="E93" s="10">
        <v>0.37</v>
      </c>
      <c r="F93" t="s">
        <v>19</v>
      </c>
      <c r="G93" s="10">
        <v>0.33</v>
      </c>
      <c r="H93" t="s">
        <v>22</v>
      </c>
      <c r="I93" s="14">
        <v>0.125</v>
      </c>
      <c r="J93">
        <f>IF(A93="","",--(B93=D93))</f>
        <v>0</v>
      </c>
      <c r="K93">
        <f>IF(A93="","",--OR(B93=D93,B93=F93,B93=H93))</f>
        <v>0</v>
      </c>
    </row>
    <row r="94" spans="1:11">
      <c r="A94" t="s">
        <v>46</v>
      </c>
      <c r="B94" t="s">
        <v>17</v>
      </c>
      <c r="C94" t="s">
        <v>16</v>
      </c>
      <c r="D94" t="s">
        <v>12</v>
      </c>
      <c r="E94" s="14">
        <v>0.511</v>
      </c>
      <c r="F94" t="s">
        <v>19</v>
      </c>
      <c r="G94" s="14">
        <v>0.264</v>
      </c>
      <c r="H94" t="s">
        <v>15</v>
      </c>
      <c r="I94" s="14">
        <v>0.059</v>
      </c>
      <c r="J94">
        <f>IF(A94="","",--(B94=D94))</f>
        <v>0</v>
      </c>
      <c r="K94">
        <f>IF(A94="","",--OR(B94=D94,B94=F94,B94=H94))</f>
        <v>0</v>
      </c>
    </row>
    <row r="95" spans="1:11">
      <c r="A95" t="s">
        <v>46</v>
      </c>
      <c r="B95" t="s">
        <v>17</v>
      </c>
      <c r="C95" t="s">
        <v>18</v>
      </c>
      <c r="D95" t="s">
        <v>19</v>
      </c>
      <c r="E95" s="14">
        <v>0.469</v>
      </c>
      <c r="F95" t="s">
        <v>12</v>
      </c>
      <c r="G95" s="14">
        <v>0.249</v>
      </c>
      <c r="H95" t="s">
        <v>17</v>
      </c>
      <c r="I95" s="10">
        <v>0.15</v>
      </c>
      <c r="J95">
        <v>0</v>
      </c>
      <c r="K95">
        <v>1</v>
      </c>
    </row>
    <row r="96" spans="1:11">
      <c r="A96" t="s">
        <v>47</v>
      </c>
      <c r="B96" t="s">
        <v>17</v>
      </c>
      <c r="C96" t="s">
        <v>13</v>
      </c>
      <c r="D96" t="s">
        <v>15</v>
      </c>
      <c r="E96" s="14">
        <v>0.329</v>
      </c>
      <c r="F96" t="s">
        <v>19</v>
      </c>
      <c r="G96" s="14">
        <v>0.314</v>
      </c>
      <c r="H96" t="s">
        <v>12</v>
      </c>
      <c r="I96" s="10">
        <v>0.11</v>
      </c>
      <c r="J96">
        <f>IF(A96="","",--(B96=D96))</f>
        <v>0</v>
      </c>
      <c r="K96">
        <f>IF(A96="","",--OR(B96=D96,B96=F96,B96=H96))</f>
        <v>0</v>
      </c>
    </row>
    <row r="97" spans="1:11">
      <c r="A97" t="s">
        <v>47</v>
      </c>
      <c r="B97" t="s">
        <v>17</v>
      </c>
      <c r="C97" t="s">
        <v>16</v>
      </c>
      <c r="D97" t="s">
        <v>22</v>
      </c>
      <c r="E97" s="10">
        <v>0.37</v>
      </c>
      <c r="F97" t="s">
        <v>12</v>
      </c>
      <c r="G97" s="14">
        <v>0.136</v>
      </c>
      <c r="H97" t="s">
        <v>14</v>
      </c>
      <c r="I97" s="14">
        <v>0.131</v>
      </c>
      <c r="J97">
        <f>IF(A97="","",--(B97=D97))</f>
        <v>0</v>
      </c>
      <c r="K97">
        <f>IF(A97="","",--OR(B97=D97,B97=F97,B97=H97))</f>
        <v>0</v>
      </c>
    </row>
    <row r="98" spans="1:11">
      <c r="A98" t="s">
        <v>47</v>
      </c>
      <c r="B98" t="s">
        <v>17</v>
      </c>
      <c r="C98" t="s">
        <v>18</v>
      </c>
      <c r="D98" t="s">
        <v>12</v>
      </c>
      <c r="E98" s="14">
        <v>0.448</v>
      </c>
      <c r="F98" t="s">
        <v>19</v>
      </c>
      <c r="G98" s="14">
        <v>0.131</v>
      </c>
      <c r="H98" t="s">
        <v>14</v>
      </c>
      <c r="I98" s="10">
        <v>0.124</v>
      </c>
      <c r="J98">
        <v>0</v>
      </c>
      <c r="K98">
        <v>0</v>
      </c>
    </row>
    <row r="99" spans="1:11">
      <c r="A99" t="s">
        <v>48</v>
      </c>
      <c r="B99" t="s">
        <v>17</v>
      </c>
      <c r="C99" t="s">
        <v>13</v>
      </c>
      <c r="D99" t="s">
        <v>22</v>
      </c>
      <c r="E99" s="14">
        <v>0.461</v>
      </c>
      <c r="F99" t="s">
        <v>15</v>
      </c>
      <c r="G99" s="14">
        <v>0.322</v>
      </c>
      <c r="H99" t="s">
        <v>20</v>
      </c>
      <c r="I99" s="10">
        <v>0.08</v>
      </c>
      <c r="J99">
        <f>IF(A99="","",--(B99=D99))</f>
        <v>0</v>
      </c>
      <c r="K99">
        <f>IF(A99="","",--OR(B99=D99,B99=F99,B99=H99))</f>
        <v>0</v>
      </c>
    </row>
    <row r="100" spans="1:11">
      <c r="A100" t="s">
        <v>48</v>
      </c>
      <c r="B100" t="s">
        <v>17</v>
      </c>
      <c r="C100" t="s">
        <v>16</v>
      </c>
      <c r="D100" t="s">
        <v>15</v>
      </c>
      <c r="E100" s="10">
        <v>0.56</v>
      </c>
      <c r="F100" t="s">
        <v>20</v>
      </c>
      <c r="G100" s="14">
        <v>0.223</v>
      </c>
      <c r="H100" t="s">
        <v>17</v>
      </c>
      <c r="I100" s="10">
        <v>0.07</v>
      </c>
      <c r="J100">
        <f>IF(A100="","",--(B100=D100))</f>
        <v>0</v>
      </c>
      <c r="K100">
        <f>IF(A100="","",--OR(B100=D100,B100=F100,B100=H100))</f>
        <v>1</v>
      </c>
    </row>
    <row r="101" spans="1:11">
      <c r="A101" t="s">
        <v>48</v>
      </c>
      <c r="B101" t="s">
        <v>17</v>
      </c>
      <c r="C101" t="s">
        <v>18</v>
      </c>
      <c r="D101" t="s">
        <v>15</v>
      </c>
      <c r="E101" s="10">
        <v>0.346</v>
      </c>
      <c r="F101" t="s">
        <v>20</v>
      </c>
      <c r="G101" s="10">
        <v>0.293</v>
      </c>
      <c r="H101" t="s">
        <v>19</v>
      </c>
      <c r="I101" s="14">
        <v>0.112</v>
      </c>
      <c r="J101">
        <v>0</v>
      </c>
      <c r="K101">
        <v>0</v>
      </c>
    </row>
    <row r="102" spans="1:11">
      <c r="A102" t="s">
        <v>49</v>
      </c>
      <c r="B102" t="s">
        <v>17</v>
      </c>
      <c r="C102" t="s">
        <v>13</v>
      </c>
      <c r="D102" t="s">
        <v>14</v>
      </c>
      <c r="E102" s="10">
        <v>0.42</v>
      </c>
      <c r="F102" t="s">
        <v>20</v>
      </c>
      <c r="G102" s="10">
        <v>0.17</v>
      </c>
      <c r="H102" t="s">
        <v>12</v>
      </c>
      <c r="I102" s="14">
        <v>0.122</v>
      </c>
      <c r="J102">
        <f>IF(A102="","",--(B102=D102))</f>
        <v>0</v>
      </c>
      <c r="K102">
        <f>IF(A102="","",--OR(B102=D102,B102=F102,B102=H102))</f>
        <v>0</v>
      </c>
    </row>
    <row r="103" spans="1:11">
      <c r="A103" t="s">
        <v>49</v>
      </c>
      <c r="B103" t="s">
        <v>17</v>
      </c>
      <c r="C103" t="s">
        <v>16</v>
      </c>
      <c r="D103" t="s">
        <v>19</v>
      </c>
      <c r="E103" s="14">
        <v>0.255</v>
      </c>
      <c r="F103" t="s">
        <v>17</v>
      </c>
      <c r="G103" s="14">
        <v>0.22</v>
      </c>
      <c r="H103" t="s">
        <v>14</v>
      </c>
      <c r="I103" s="14">
        <v>0.174</v>
      </c>
      <c r="J103">
        <f>IF(A103="","",--(B103=D103))</f>
        <v>0</v>
      </c>
      <c r="K103">
        <f>IF(A103="","",--OR(B103=D103,B103=F103,B103=H103))</f>
        <v>1</v>
      </c>
    </row>
    <row r="104" spans="1:11">
      <c r="A104" t="s">
        <v>49</v>
      </c>
      <c r="B104" t="s">
        <v>17</v>
      </c>
      <c r="C104" t="s">
        <v>18</v>
      </c>
      <c r="D104" t="s">
        <v>15</v>
      </c>
      <c r="E104" s="14">
        <v>0.675</v>
      </c>
      <c r="F104" t="s">
        <v>20</v>
      </c>
      <c r="G104" s="14">
        <v>0.073</v>
      </c>
      <c r="H104" t="s">
        <v>14</v>
      </c>
      <c r="I104" s="14">
        <v>0.067</v>
      </c>
      <c r="J104">
        <v>0</v>
      </c>
      <c r="K104">
        <v>0</v>
      </c>
    </row>
    <row r="105" spans="1:11">
      <c r="A105" t="s">
        <v>50</v>
      </c>
      <c r="B105" t="s">
        <v>17</v>
      </c>
      <c r="C105" t="s">
        <v>13</v>
      </c>
      <c r="D105" t="s">
        <v>20</v>
      </c>
      <c r="E105" s="14">
        <v>0.293</v>
      </c>
      <c r="F105" t="s">
        <v>14</v>
      </c>
      <c r="G105" s="14">
        <v>0.268</v>
      </c>
      <c r="H105" t="s">
        <v>19</v>
      </c>
      <c r="I105" s="14">
        <v>0.229</v>
      </c>
      <c r="J105">
        <f t="shared" ref="J105:J117" si="4">IF(A105="","",--(B105=D105))</f>
        <v>0</v>
      </c>
      <c r="K105">
        <f t="shared" ref="K105:K126" si="5">IF(A105="","",--OR(B105=D105,B105=F105,B105=H105))</f>
        <v>0</v>
      </c>
    </row>
    <row r="106" spans="1:11">
      <c r="A106" t="s">
        <v>50</v>
      </c>
      <c r="B106" t="s">
        <v>17</v>
      </c>
      <c r="C106" t="s">
        <v>16</v>
      </c>
      <c r="D106" t="s">
        <v>14</v>
      </c>
      <c r="E106" s="14">
        <v>0.393</v>
      </c>
      <c r="F106" t="s">
        <v>19</v>
      </c>
      <c r="G106" s="14">
        <v>0.218</v>
      </c>
      <c r="H106" t="s">
        <v>22</v>
      </c>
      <c r="I106" s="14">
        <v>0.126</v>
      </c>
      <c r="J106">
        <f t="shared" si="4"/>
        <v>0</v>
      </c>
      <c r="K106">
        <f t="shared" si="5"/>
        <v>0</v>
      </c>
    </row>
    <row r="107" spans="1:11">
      <c r="A107" t="s">
        <v>50</v>
      </c>
      <c r="B107" t="s">
        <v>17</v>
      </c>
      <c r="C107" t="s">
        <v>18</v>
      </c>
      <c r="D107" t="s">
        <v>12</v>
      </c>
      <c r="E107" s="14">
        <v>0.393</v>
      </c>
      <c r="F107" t="s">
        <v>19</v>
      </c>
      <c r="G107" s="14">
        <v>0.364</v>
      </c>
      <c r="H107" t="s">
        <v>15</v>
      </c>
      <c r="I107" s="14">
        <v>0.104</v>
      </c>
      <c r="J107">
        <f t="shared" si="4"/>
        <v>0</v>
      </c>
      <c r="K107">
        <f t="shared" si="5"/>
        <v>0</v>
      </c>
    </row>
    <row r="108" spans="10:11">
      <c r="J108" t="str">
        <f t="shared" si="4"/>
        <v/>
      </c>
      <c r="K108" t="str">
        <f t="shared" si="5"/>
        <v/>
      </c>
    </row>
    <row r="109" spans="10:11">
      <c r="J109" t="str">
        <f t="shared" si="4"/>
        <v/>
      </c>
      <c r="K109" t="str">
        <f t="shared" si="5"/>
        <v/>
      </c>
    </row>
    <row r="110" spans="10:11">
      <c r="J110" t="str">
        <f t="shared" si="4"/>
        <v/>
      </c>
      <c r="K110" t="str">
        <f t="shared" si="5"/>
        <v/>
      </c>
    </row>
    <row r="111" spans="10:11">
      <c r="J111" t="str">
        <f t="shared" si="4"/>
        <v/>
      </c>
      <c r="K111" t="str">
        <f t="shared" si="5"/>
        <v/>
      </c>
    </row>
    <row r="112" spans="10:11">
      <c r="J112" t="str">
        <f t="shared" si="4"/>
        <v/>
      </c>
      <c r="K112" t="str">
        <f t="shared" si="5"/>
        <v/>
      </c>
    </row>
    <row r="113" spans="10:11">
      <c r="J113" t="str">
        <f t="shared" si="4"/>
        <v/>
      </c>
      <c r="K113" t="str">
        <f t="shared" si="5"/>
        <v/>
      </c>
    </row>
    <row r="114" spans="10:11">
      <c r="J114" t="str">
        <f t="shared" si="4"/>
        <v/>
      </c>
      <c r="K114" t="str">
        <f t="shared" si="5"/>
        <v/>
      </c>
    </row>
    <row r="115" spans="10:11">
      <c r="J115" t="str">
        <f t="shared" si="4"/>
        <v/>
      </c>
      <c r="K115" t="str">
        <f t="shared" si="5"/>
        <v/>
      </c>
    </row>
    <row r="116" spans="1:11">
      <c r="A116" t="s">
        <v>51</v>
      </c>
      <c r="B116" t="s">
        <v>14</v>
      </c>
      <c r="C116" t="s">
        <v>13</v>
      </c>
      <c r="D116" t="s">
        <v>14</v>
      </c>
      <c r="E116" s="14">
        <v>0.775</v>
      </c>
      <c r="F116" t="s">
        <v>22</v>
      </c>
      <c r="G116" s="14">
        <v>0.081</v>
      </c>
      <c r="H116" t="s">
        <v>15</v>
      </c>
      <c r="I116" s="14">
        <v>0.052</v>
      </c>
      <c r="J116">
        <f t="shared" si="4"/>
        <v>1</v>
      </c>
      <c r="K116">
        <f t="shared" si="5"/>
        <v>1</v>
      </c>
    </row>
    <row r="117" spans="1:11">
      <c r="A117" t="s">
        <v>51</v>
      </c>
      <c r="B117" t="s">
        <v>14</v>
      </c>
      <c r="C117" t="s">
        <v>16</v>
      </c>
      <c r="D117" t="s">
        <v>14</v>
      </c>
      <c r="E117" s="14">
        <v>0.377</v>
      </c>
      <c r="F117" t="s">
        <v>22</v>
      </c>
      <c r="G117" s="14">
        <v>0.237</v>
      </c>
      <c r="H117" t="s">
        <v>20</v>
      </c>
      <c r="I117" s="14">
        <v>0.202</v>
      </c>
      <c r="J117">
        <f t="shared" si="4"/>
        <v>1</v>
      </c>
      <c r="K117">
        <f t="shared" si="5"/>
        <v>1</v>
      </c>
    </row>
    <row r="118" spans="1:11">
      <c r="A118" t="s">
        <v>51</v>
      </c>
      <c r="B118" t="s">
        <v>14</v>
      </c>
      <c r="C118" t="s">
        <v>18</v>
      </c>
      <c r="D118" t="s">
        <v>14</v>
      </c>
      <c r="E118" s="14">
        <v>0.402</v>
      </c>
      <c r="F118" t="s">
        <v>22</v>
      </c>
      <c r="G118" s="14">
        <v>0.214</v>
      </c>
      <c r="H118" t="s">
        <v>19</v>
      </c>
      <c r="I118" s="14">
        <v>0.068</v>
      </c>
      <c r="J118">
        <v>1</v>
      </c>
      <c r="K118">
        <v>1</v>
      </c>
    </row>
    <row r="119" spans="1:11">
      <c r="A119" t="s">
        <v>52</v>
      </c>
      <c r="B119" t="s">
        <v>14</v>
      </c>
      <c r="C119" t="s">
        <v>13</v>
      </c>
      <c r="D119" t="s">
        <v>14</v>
      </c>
      <c r="E119" s="14">
        <v>0.427</v>
      </c>
      <c r="F119" t="s">
        <v>19</v>
      </c>
      <c r="G119" s="14">
        <v>0.186</v>
      </c>
      <c r="H119" t="s">
        <v>22</v>
      </c>
      <c r="I119" s="14">
        <v>0.179</v>
      </c>
      <c r="J119">
        <f>IF(A119="","",--(B119=D119))</f>
        <v>1</v>
      </c>
      <c r="K119">
        <f>IF(A119="","",--OR(B119=D119,B119=F119,B119=H119))</f>
        <v>1</v>
      </c>
    </row>
    <row r="120" spans="1:11">
      <c r="A120" t="s">
        <v>52</v>
      </c>
      <c r="B120" t="s">
        <v>14</v>
      </c>
      <c r="C120" t="s">
        <v>16</v>
      </c>
      <c r="D120" t="s">
        <v>22</v>
      </c>
      <c r="E120" s="14">
        <v>0.429</v>
      </c>
      <c r="F120" t="s">
        <v>14</v>
      </c>
      <c r="G120" s="14">
        <v>0.291</v>
      </c>
      <c r="H120" t="s">
        <v>19</v>
      </c>
      <c r="I120" s="14">
        <v>0.105</v>
      </c>
      <c r="J120">
        <f>IF(A120="","",--(B120=D120))</f>
        <v>0</v>
      </c>
      <c r="K120">
        <f>IF(A120="","",--OR(B120=D120,B120=F120,B120=H120))</f>
        <v>1</v>
      </c>
    </row>
    <row r="121" spans="1:11">
      <c r="A121" t="s">
        <v>52</v>
      </c>
      <c r="B121" t="s">
        <v>14</v>
      </c>
      <c r="C121" t="s">
        <v>18</v>
      </c>
      <c r="D121" t="s">
        <v>14</v>
      </c>
      <c r="E121" s="14">
        <v>0.445</v>
      </c>
      <c r="F121" t="s">
        <v>22</v>
      </c>
      <c r="G121" s="14">
        <v>0.2</v>
      </c>
      <c r="H121" t="s">
        <v>15</v>
      </c>
      <c r="I121" s="14">
        <v>0.178</v>
      </c>
      <c r="J121">
        <v>1</v>
      </c>
      <c r="K121">
        <v>1</v>
      </c>
    </row>
    <row r="122" spans="1:11">
      <c r="A122" t="s">
        <v>53</v>
      </c>
      <c r="B122" t="s">
        <v>14</v>
      </c>
      <c r="C122" t="s">
        <v>13</v>
      </c>
      <c r="D122" t="s">
        <v>22</v>
      </c>
      <c r="E122" s="14">
        <v>0.433</v>
      </c>
      <c r="F122" t="s">
        <v>20</v>
      </c>
      <c r="G122" s="14">
        <v>0.186</v>
      </c>
      <c r="H122" t="s">
        <v>15</v>
      </c>
      <c r="I122" s="14">
        <v>0.174</v>
      </c>
      <c r="J122">
        <f>IF(A122="","",--(B122=D122))</f>
        <v>0</v>
      </c>
      <c r="K122">
        <f>IF(A122="","",--OR(B122=D122,B122=F122,B122=H122))</f>
        <v>0</v>
      </c>
    </row>
    <row r="123" spans="1:11">
      <c r="A123" t="s">
        <v>53</v>
      </c>
      <c r="B123" t="s">
        <v>14</v>
      </c>
      <c r="C123" t="s">
        <v>16</v>
      </c>
      <c r="D123" t="s">
        <v>15</v>
      </c>
      <c r="E123" s="14">
        <v>0.446</v>
      </c>
      <c r="F123" t="s">
        <v>14</v>
      </c>
      <c r="G123" s="14">
        <v>0.119</v>
      </c>
      <c r="H123" t="s">
        <v>12</v>
      </c>
      <c r="I123" s="14">
        <v>0.112</v>
      </c>
      <c r="J123">
        <f>IF(A123="","",--(B123=D123))</f>
        <v>0</v>
      </c>
      <c r="K123">
        <f>IF(A123="","",--OR(B123=D123,B123=F123,B123=H123))</f>
        <v>1</v>
      </c>
    </row>
    <row r="124" spans="1:11">
      <c r="A124" t="s">
        <v>53</v>
      </c>
      <c r="B124" t="s">
        <v>14</v>
      </c>
      <c r="C124" t="s">
        <v>18</v>
      </c>
      <c r="D124" t="s">
        <v>15</v>
      </c>
      <c r="E124" s="14">
        <v>0.258</v>
      </c>
      <c r="F124" t="s">
        <v>12</v>
      </c>
      <c r="G124" s="14">
        <v>0.164</v>
      </c>
      <c r="H124" t="s">
        <v>19</v>
      </c>
      <c r="I124" s="14">
        <v>0.139</v>
      </c>
      <c r="J124">
        <v>0</v>
      </c>
      <c r="K124">
        <v>0</v>
      </c>
    </row>
    <row r="125" spans="1:11">
      <c r="A125" t="s">
        <v>54</v>
      </c>
      <c r="B125" t="s">
        <v>14</v>
      </c>
      <c r="C125" t="s">
        <v>13</v>
      </c>
      <c r="D125" t="s">
        <v>22</v>
      </c>
      <c r="E125" s="14">
        <v>0.315</v>
      </c>
      <c r="F125" t="s">
        <v>12</v>
      </c>
      <c r="G125" s="14">
        <v>0.243</v>
      </c>
      <c r="H125" t="s">
        <v>14</v>
      </c>
      <c r="I125" s="14">
        <v>0.222</v>
      </c>
      <c r="J125">
        <f>IF(A125="","",--(B125=D125))</f>
        <v>0</v>
      </c>
      <c r="K125">
        <f>IF(A125="","",--OR(B125=D125,B125=F125,B125=H125))</f>
        <v>1</v>
      </c>
    </row>
    <row r="126" spans="1:11">
      <c r="A126" t="s">
        <v>54</v>
      </c>
      <c r="B126" t="s">
        <v>14</v>
      </c>
      <c r="C126" t="s">
        <v>16</v>
      </c>
      <c r="D126" t="s">
        <v>20</v>
      </c>
      <c r="E126" s="14">
        <v>0.383</v>
      </c>
      <c r="F126" t="s">
        <v>14</v>
      </c>
      <c r="G126" s="14">
        <v>0.298</v>
      </c>
      <c r="H126" t="s">
        <v>15</v>
      </c>
      <c r="I126" s="14">
        <v>0.119</v>
      </c>
      <c r="J126">
        <f>IF(A126="","",--(B126=D126))</f>
        <v>0</v>
      </c>
      <c r="K126">
        <f>IF(A126="","",--OR(B126=D126,B126=F126,B126=H126))</f>
        <v>1</v>
      </c>
    </row>
    <row r="127" spans="1:11">
      <c r="A127" t="s">
        <v>54</v>
      </c>
      <c r="B127" t="s">
        <v>14</v>
      </c>
      <c r="C127" t="s">
        <v>18</v>
      </c>
      <c r="D127" t="s">
        <v>14</v>
      </c>
      <c r="E127" s="14">
        <v>0.47</v>
      </c>
      <c r="F127" t="s">
        <v>20</v>
      </c>
      <c r="G127" s="14">
        <v>0.195</v>
      </c>
      <c r="H127" t="s">
        <v>15</v>
      </c>
      <c r="I127" s="10">
        <v>0.124</v>
      </c>
      <c r="J127">
        <v>1</v>
      </c>
      <c r="K127">
        <v>1</v>
      </c>
    </row>
    <row r="128" spans="1:11">
      <c r="A128" t="s">
        <v>55</v>
      </c>
      <c r="B128" t="s">
        <v>14</v>
      </c>
      <c r="C128" t="s">
        <v>13</v>
      </c>
      <c r="D128" t="s">
        <v>19</v>
      </c>
      <c r="E128" s="14">
        <v>0.309</v>
      </c>
      <c r="F128" t="s">
        <v>14</v>
      </c>
      <c r="G128" s="14">
        <v>0.289</v>
      </c>
      <c r="H128" t="s">
        <v>20</v>
      </c>
      <c r="I128" s="10">
        <v>0.15</v>
      </c>
      <c r="J128">
        <f>IF(A128="","",--(B128=D128))</f>
        <v>0</v>
      </c>
      <c r="K128">
        <f>IF(A128="","",--OR(B128=D128,B128=F128,B128=H128))</f>
        <v>1</v>
      </c>
    </row>
    <row r="129" spans="1:11">
      <c r="A129" t="s">
        <v>55</v>
      </c>
      <c r="B129" t="s">
        <v>14</v>
      </c>
      <c r="C129" t="s">
        <v>16</v>
      </c>
      <c r="D129" t="s">
        <v>12</v>
      </c>
      <c r="E129" s="14">
        <v>0.504</v>
      </c>
      <c r="F129" t="s">
        <v>15</v>
      </c>
      <c r="G129" s="14">
        <v>0.241</v>
      </c>
      <c r="H129" t="s">
        <v>20</v>
      </c>
      <c r="I129" s="14">
        <v>0.119</v>
      </c>
      <c r="J129">
        <f>IF(A129="","",--(B129=D129))</f>
        <v>0</v>
      </c>
      <c r="K129">
        <f>IF(A129="","",--OR(B129=D129,B129=F129,B129=H129))</f>
        <v>0</v>
      </c>
    </row>
    <row r="130" spans="1:11">
      <c r="A130" t="s">
        <v>55</v>
      </c>
      <c r="B130" t="s">
        <v>14</v>
      </c>
      <c r="C130" t="s">
        <v>18</v>
      </c>
      <c r="D130" t="s">
        <v>12</v>
      </c>
      <c r="E130" s="14">
        <v>0.473</v>
      </c>
      <c r="F130" t="s">
        <v>20</v>
      </c>
      <c r="G130" s="14">
        <v>0.203</v>
      </c>
      <c r="H130" t="s">
        <v>22</v>
      </c>
      <c r="I130" s="14">
        <v>0.151</v>
      </c>
      <c r="J130">
        <v>0</v>
      </c>
      <c r="K130">
        <v>0</v>
      </c>
    </row>
    <row r="131" spans="1:11">
      <c r="A131" t="s">
        <v>56</v>
      </c>
      <c r="B131" t="s">
        <v>14</v>
      </c>
      <c r="C131" t="s">
        <v>13</v>
      </c>
      <c r="D131" t="s">
        <v>15</v>
      </c>
      <c r="E131" s="14">
        <v>0.381</v>
      </c>
      <c r="F131" t="s">
        <v>14</v>
      </c>
      <c r="G131" s="14">
        <v>0.261</v>
      </c>
      <c r="H131" t="s">
        <v>22</v>
      </c>
      <c r="I131" s="14">
        <v>0.232</v>
      </c>
      <c r="J131">
        <f>IF(A131="","",--(B131=D131))</f>
        <v>0</v>
      </c>
      <c r="K131">
        <f>IF(A131="","",--OR(B131=D131,B131=F131,B131=H131))</f>
        <v>1</v>
      </c>
    </row>
    <row r="132" spans="1:11">
      <c r="A132" t="s">
        <v>56</v>
      </c>
      <c r="B132" t="s">
        <v>14</v>
      </c>
      <c r="C132" t="s">
        <v>16</v>
      </c>
      <c r="D132" t="s">
        <v>15</v>
      </c>
      <c r="E132" s="14">
        <v>0.393</v>
      </c>
      <c r="F132" t="s">
        <v>22</v>
      </c>
      <c r="G132" s="14">
        <v>0.217</v>
      </c>
      <c r="H132" t="s">
        <v>19</v>
      </c>
      <c r="I132" s="14">
        <v>0.183</v>
      </c>
      <c r="J132">
        <f>IF(A132="","",--(B132=D132))</f>
        <v>0</v>
      </c>
      <c r="K132">
        <f>IF(A132="","",--OR(B132=D132,B132=F132,B132=H132))</f>
        <v>0</v>
      </c>
    </row>
    <row r="133" spans="1:11">
      <c r="A133" t="s">
        <v>56</v>
      </c>
      <c r="B133" t="s">
        <v>14</v>
      </c>
      <c r="C133" t="s">
        <v>18</v>
      </c>
      <c r="D133" t="s">
        <v>22</v>
      </c>
      <c r="E133" s="14">
        <v>0.391</v>
      </c>
      <c r="F133" t="s">
        <v>15</v>
      </c>
      <c r="G133" s="10">
        <v>0.276</v>
      </c>
      <c r="H133" t="s">
        <v>19</v>
      </c>
      <c r="I133" s="14">
        <v>0.113</v>
      </c>
      <c r="J133">
        <v>0</v>
      </c>
      <c r="K133">
        <v>0</v>
      </c>
    </row>
    <row r="134" spans="1:11">
      <c r="A134" t="s">
        <v>57</v>
      </c>
      <c r="B134" t="s">
        <v>14</v>
      </c>
      <c r="C134" t="s">
        <v>13</v>
      </c>
      <c r="D134" t="s">
        <v>15</v>
      </c>
      <c r="E134" s="14">
        <v>0.252</v>
      </c>
      <c r="F134" t="s">
        <v>22</v>
      </c>
      <c r="G134" s="10">
        <v>0.2</v>
      </c>
      <c r="H134" t="s">
        <v>19</v>
      </c>
      <c r="I134" s="14">
        <v>0.195</v>
      </c>
      <c r="J134">
        <f>IF(A134="","",--(B134=D134))</f>
        <v>0</v>
      </c>
      <c r="K134">
        <f>IF(A134="","",--OR(B134=D134,B134=F134,B134=H134))</f>
        <v>0</v>
      </c>
    </row>
    <row r="135" spans="1:11">
      <c r="A135" t="s">
        <v>57</v>
      </c>
      <c r="B135" t="s">
        <v>14</v>
      </c>
      <c r="C135" t="s">
        <v>16</v>
      </c>
      <c r="D135" t="s">
        <v>20</v>
      </c>
      <c r="E135" s="14">
        <v>0.533</v>
      </c>
      <c r="F135" t="s">
        <v>14</v>
      </c>
      <c r="G135" s="14">
        <v>0.247</v>
      </c>
      <c r="H135" t="s">
        <v>22</v>
      </c>
      <c r="I135" s="14">
        <v>0.092</v>
      </c>
      <c r="J135">
        <f>IF(A135="","",--(B135=D135))</f>
        <v>0</v>
      </c>
      <c r="K135">
        <f>IF(A135="","",--OR(B135=D135,B135=F135,B135=H135))</f>
        <v>1</v>
      </c>
    </row>
    <row r="136" spans="1:11">
      <c r="A136" t="s">
        <v>57</v>
      </c>
      <c r="B136" t="s">
        <v>14</v>
      </c>
      <c r="C136" t="s">
        <v>18</v>
      </c>
      <c r="D136" t="s">
        <v>20</v>
      </c>
      <c r="E136" s="14">
        <v>0.474</v>
      </c>
      <c r="F136" t="s">
        <v>14</v>
      </c>
      <c r="G136" s="14">
        <v>0.207</v>
      </c>
      <c r="H136" t="s">
        <v>19</v>
      </c>
      <c r="I136" s="14">
        <v>0.133</v>
      </c>
      <c r="J136">
        <v>0</v>
      </c>
      <c r="K136">
        <v>1</v>
      </c>
    </row>
    <row r="137" spans="1:11">
      <c r="A137" t="s">
        <v>58</v>
      </c>
      <c r="B137" t="s">
        <v>14</v>
      </c>
      <c r="C137" t="s">
        <v>13</v>
      </c>
      <c r="D137" t="s">
        <v>19</v>
      </c>
      <c r="E137" s="14">
        <v>0.249</v>
      </c>
      <c r="F137" t="s">
        <v>15</v>
      </c>
      <c r="G137" s="14">
        <v>0.187</v>
      </c>
      <c r="H137" t="s">
        <v>12</v>
      </c>
      <c r="I137" s="14">
        <v>0.171</v>
      </c>
      <c r="J137">
        <f>IF(A137="","",--(B137=D137))</f>
        <v>0</v>
      </c>
      <c r="K137">
        <f>IF(A137="","",--OR(B137=D137,B137=F137,B137=H137))</f>
        <v>0</v>
      </c>
    </row>
    <row r="138" spans="1:11">
      <c r="A138" t="s">
        <v>58</v>
      </c>
      <c r="B138" t="s">
        <v>14</v>
      </c>
      <c r="C138" t="s">
        <v>16</v>
      </c>
      <c r="D138" t="s">
        <v>15</v>
      </c>
      <c r="E138" s="14">
        <v>0.589</v>
      </c>
      <c r="F138" t="s">
        <v>22</v>
      </c>
      <c r="G138" s="14">
        <v>0.229</v>
      </c>
      <c r="H138" t="s">
        <v>19</v>
      </c>
      <c r="I138" s="14">
        <v>0.102</v>
      </c>
      <c r="J138">
        <f>IF(A138="","",--(B138=D138))</f>
        <v>0</v>
      </c>
      <c r="K138">
        <f>IF(A138="","",--OR(B138=D138,B138=F138,B138=H138))</f>
        <v>0</v>
      </c>
    </row>
    <row r="139" spans="1:11">
      <c r="A139" t="s">
        <v>58</v>
      </c>
      <c r="B139" t="s">
        <v>14</v>
      </c>
      <c r="C139" t="s">
        <v>18</v>
      </c>
      <c r="D139" t="s">
        <v>15</v>
      </c>
      <c r="E139" s="14">
        <v>0.679</v>
      </c>
      <c r="F139" t="s">
        <v>22</v>
      </c>
      <c r="G139" s="14">
        <v>0.168</v>
      </c>
      <c r="H139" t="s">
        <v>19</v>
      </c>
      <c r="I139" s="14">
        <v>0.073</v>
      </c>
      <c r="J139">
        <v>0</v>
      </c>
      <c r="K139">
        <v>1</v>
      </c>
    </row>
    <row r="140" spans="1:11">
      <c r="A140" t="s">
        <v>59</v>
      </c>
      <c r="B140" t="s">
        <v>14</v>
      </c>
      <c r="C140" t="s">
        <v>13</v>
      </c>
      <c r="D140" t="s">
        <v>19</v>
      </c>
      <c r="E140" s="14">
        <v>0.381</v>
      </c>
      <c r="F140" t="s">
        <v>20</v>
      </c>
      <c r="G140" s="14">
        <v>0.255</v>
      </c>
      <c r="H140" t="s">
        <v>14</v>
      </c>
      <c r="I140" s="14">
        <v>0.12</v>
      </c>
      <c r="J140">
        <f>IF(A140="","",--(B140=D140))</f>
        <v>0</v>
      </c>
      <c r="K140">
        <f>IF(A140="","",--OR(B140=D140,B140=F140,B140=H140))</f>
        <v>1</v>
      </c>
    </row>
    <row r="141" spans="1:11">
      <c r="A141" t="s">
        <v>59</v>
      </c>
      <c r="B141" t="s">
        <v>14</v>
      </c>
      <c r="C141" t="s">
        <v>16</v>
      </c>
      <c r="D141" t="s">
        <v>15</v>
      </c>
      <c r="E141" s="14">
        <v>0.502</v>
      </c>
      <c r="F141" t="s">
        <v>22</v>
      </c>
      <c r="G141" s="14">
        <v>0.191</v>
      </c>
      <c r="H141" t="s">
        <v>19</v>
      </c>
      <c r="I141" s="14">
        <v>0.161</v>
      </c>
      <c r="J141">
        <f>IF(A141="","",--(B141=D141))</f>
        <v>0</v>
      </c>
      <c r="K141">
        <f>IF(A141="","",--OR(B141=D141,B141=F141,B141=H141))</f>
        <v>0</v>
      </c>
    </row>
    <row r="142" spans="1:11">
      <c r="A142" t="s">
        <v>59</v>
      </c>
      <c r="B142" t="s">
        <v>14</v>
      </c>
      <c r="C142" t="s">
        <v>18</v>
      </c>
      <c r="D142" t="s">
        <v>22</v>
      </c>
      <c r="E142" s="14">
        <v>0.291</v>
      </c>
      <c r="F142" t="s">
        <v>15</v>
      </c>
      <c r="G142" s="14">
        <v>0.212</v>
      </c>
      <c r="H142" t="s">
        <v>19</v>
      </c>
      <c r="I142" s="14">
        <v>0.207</v>
      </c>
      <c r="J142">
        <v>0</v>
      </c>
      <c r="K142">
        <v>1</v>
      </c>
    </row>
    <row r="143" spans="1:11">
      <c r="A143" t="s">
        <v>60</v>
      </c>
      <c r="B143" t="s">
        <v>14</v>
      </c>
      <c r="C143" t="s">
        <v>13</v>
      </c>
      <c r="D143" t="s">
        <v>15</v>
      </c>
      <c r="E143" s="14">
        <v>0.392</v>
      </c>
      <c r="F143" t="s">
        <v>19</v>
      </c>
      <c r="G143" s="14">
        <v>0.183</v>
      </c>
      <c r="H143" t="s">
        <v>12</v>
      </c>
      <c r="I143" s="14">
        <v>0.172</v>
      </c>
      <c r="J143">
        <f t="shared" ref="J143:J155" si="6">IF(A143="","",--(B143=D143))</f>
        <v>0</v>
      </c>
      <c r="K143">
        <f t="shared" ref="K143:K167" si="7">IF(A143="","",--OR(B143=D143,B143=F143,B143=H143))</f>
        <v>0</v>
      </c>
    </row>
    <row r="144" spans="1:11">
      <c r="A144" t="s">
        <v>60</v>
      </c>
      <c r="B144" t="s">
        <v>14</v>
      </c>
      <c r="C144" t="s">
        <v>16</v>
      </c>
      <c r="D144" t="s">
        <v>20</v>
      </c>
      <c r="E144" s="14">
        <v>0.386</v>
      </c>
      <c r="F144" t="s">
        <v>14</v>
      </c>
      <c r="G144" s="14">
        <v>0.194</v>
      </c>
      <c r="H144" t="s">
        <v>15</v>
      </c>
      <c r="I144" s="14">
        <v>0.125</v>
      </c>
      <c r="J144">
        <f t="shared" si="6"/>
        <v>0</v>
      </c>
      <c r="K144">
        <f t="shared" si="7"/>
        <v>1</v>
      </c>
    </row>
    <row r="145" spans="1:11">
      <c r="A145" t="s">
        <v>60</v>
      </c>
      <c r="B145" t="s">
        <v>14</v>
      </c>
      <c r="C145" t="s">
        <v>18</v>
      </c>
      <c r="D145" t="s">
        <v>19</v>
      </c>
      <c r="E145" s="14">
        <v>0.361</v>
      </c>
      <c r="F145" t="s">
        <v>15</v>
      </c>
      <c r="G145" s="14">
        <v>0.237</v>
      </c>
      <c r="H145" t="s">
        <v>20</v>
      </c>
      <c r="I145" s="14">
        <v>0.156</v>
      </c>
      <c r="J145">
        <f t="shared" si="6"/>
        <v>0</v>
      </c>
      <c r="K145">
        <f t="shared" si="7"/>
        <v>0</v>
      </c>
    </row>
    <row r="146" spans="10:11">
      <c r="J146" t="str">
        <f t="shared" si="6"/>
        <v/>
      </c>
      <c r="K146" t="str">
        <f t="shared" si="7"/>
        <v/>
      </c>
    </row>
    <row r="147" spans="10:11">
      <c r="J147" t="str">
        <f t="shared" si="6"/>
        <v/>
      </c>
      <c r="K147" t="str">
        <f t="shared" si="7"/>
        <v/>
      </c>
    </row>
    <row r="148" spans="10:11">
      <c r="J148" t="str">
        <f t="shared" si="6"/>
        <v/>
      </c>
      <c r="K148" t="str">
        <f t="shared" si="7"/>
        <v/>
      </c>
    </row>
    <row r="149" spans="10:11">
      <c r="J149" t="str">
        <f t="shared" si="6"/>
        <v/>
      </c>
      <c r="K149" t="str">
        <f t="shared" si="7"/>
        <v/>
      </c>
    </row>
    <row r="150" spans="10:11">
      <c r="J150" t="str">
        <f t="shared" si="6"/>
        <v/>
      </c>
      <c r="K150" t="str">
        <f t="shared" si="7"/>
        <v/>
      </c>
    </row>
    <row r="151" spans="10:11">
      <c r="J151" t="str">
        <f t="shared" si="6"/>
        <v/>
      </c>
      <c r="K151" t="str">
        <f t="shared" si="7"/>
        <v/>
      </c>
    </row>
    <row r="152" spans="10:11">
      <c r="J152" t="str">
        <f t="shared" si="6"/>
        <v/>
      </c>
      <c r="K152" t="str">
        <f t="shared" si="7"/>
        <v/>
      </c>
    </row>
    <row r="153" spans="10:11">
      <c r="J153" t="str">
        <f t="shared" si="6"/>
        <v/>
      </c>
      <c r="K153" t="str">
        <f t="shared" si="7"/>
        <v/>
      </c>
    </row>
    <row r="154" spans="1:11">
      <c r="A154" t="s">
        <v>61</v>
      </c>
      <c r="B154" t="s">
        <v>15</v>
      </c>
      <c r="C154" t="s">
        <v>13</v>
      </c>
      <c r="D154" t="s">
        <v>14</v>
      </c>
      <c r="E154" s="14">
        <v>0.323</v>
      </c>
      <c r="F154" t="s">
        <v>20</v>
      </c>
      <c r="G154" s="14">
        <v>0.248</v>
      </c>
      <c r="H154" t="s">
        <v>19</v>
      </c>
      <c r="I154" s="14">
        <v>0.134</v>
      </c>
      <c r="J154">
        <f t="shared" si="6"/>
        <v>0</v>
      </c>
      <c r="K154">
        <f t="shared" si="7"/>
        <v>0</v>
      </c>
    </row>
    <row r="155" spans="1:11">
      <c r="A155" t="s">
        <v>61</v>
      </c>
      <c r="B155" t="s">
        <v>15</v>
      </c>
      <c r="C155" t="s">
        <v>16</v>
      </c>
      <c r="D155" t="s">
        <v>15</v>
      </c>
      <c r="E155" s="14">
        <v>0.604</v>
      </c>
      <c r="F155" t="s">
        <v>19</v>
      </c>
      <c r="G155" s="14">
        <v>0.146</v>
      </c>
      <c r="H155" t="s">
        <v>22</v>
      </c>
      <c r="I155" s="14">
        <v>0.133</v>
      </c>
      <c r="J155">
        <f t="shared" si="6"/>
        <v>1</v>
      </c>
      <c r="K155">
        <f t="shared" si="7"/>
        <v>1</v>
      </c>
    </row>
    <row r="156" spans="1:11">
      <c r="A156" t="s">
        <v>61</v>
      </c>
      <c r="B156" t="s">
        <v>15</v>
      </c>
      <c r="C156" t="s">
        <v>18</v>
      </c>
      <c r="D156" t="s">
        <v>15</v>
      </c>
      <c r="E156" s="14">
        <v>0.608</v>
      </c>
      <c r="F156" t="s">
        <v>22</v>
      </c>
      <c r="G156" s="14">
        <v>0.222</v>
      </c>
      <c r="H156" t="s">
        <v>19</v>
      </c>
      <c r="I156" s="14">
        <v>0.059</v>
      </c>
      <c r="J156">
        <v>1</v>
      </c>
      <c r="K156">
        <v>1</v>
      </c>
    </row>
    <row r="157" spans="1:11">
      <c r="A157" t="s">
        <v>62</v>
      </c>
      <c r="B157" t="s">
        <v>15</v>
      </c>
      <c r="C157" t="s">
        <v>13</v>
      </c>
      <c r="D157" t="s">
        <v>15</v>
      </c>
      <c r="E157" s="14">
        <v>0.735</v>
      </c>
      <c r="F157" t="s">
        <v>12</v>
      </c>
      <c r="G157" s="14">
        <v>0.174</v>
      </c>
      <c r="H157" t="s">
        <v>22</v>
      </c>
      <c r="I157" s="14">
        <v>0.028</v>
      </c>
      <c r="J157">
        <f>IF(A157="","",--(B157=D157))</f>
        <v>1</v>
      </c>
      <c r="K157">
        <f>IF(A157="","",--OR(B157=D157,B157=F157,B157=H157))</f>
        <v>1</v>
      </c>
    </row>
    <row r="158" spans="1:11">
      <c r="A158" t="s">
        <v>62</v>
      </c>
      <c r="B158" t="s">
        <v>15</v>
      </c>
      <c r="C158" t="s">
        <v>16</v>
      </c>
      <c r="D158" t="s">
        <v>15</v>
      </c>
      <c r="E158" s="14">
        <v>0.735</v>
      </c>
      <c r="F158" t="s">
        <v>12</v>
      </c>
      <c r="G158" s="14">
        <v>0.174</v>
      </c>
      <c r="H158" t="s">
        <v>22</v>
      </c>
      <c r="I158" s="14">
        <v>0.028</v>
      </c>
      <c r="J158">
        <f>IF(A158="","",--(B158=D158))</f>
        <v>1</v>
      </c>
      <c r="K158">
        <f>IF(A158="","",--OR(B158=D158,B158=F158,B158=H158))</f>
        <v>1</v>
      </c>
    </row>
    <row r="159" spans="1:11">
      <c r="A159" t="s">
        <v>62</v>
      </c>
      <c r="B159" t="s">
        <v>15</v>
      </c>
      <c r="C159" t="s">
        <v>18</v>
      </c>
      <c r="D159" t="s">
        <v>15</v>
      </c>
      <c r="E159" s="10">
        <v>0.438</v>
      </c>
      <c r="F159" t="s">
        <v>22</v>
      </c>
      <c r="G159" s="14">
        <v>0.312</v>
      </c>
      <c r="H159" t="s">
        <v>19</v>
      </c>
      <c r="I159" s="14">
        <v>0.119</v>
      </c>
      <c r="J159">
        <v>1</v>
      </c>
      <c r="K159">
        <v>1</v>
      </c>
    </row>
    <row r="160" spans="1:11">
      <c r="A160" t="s">
        <v>63</v>
      </c>
      <c r="B160" t="s">
        <v>15</v>
      </c>
      <c r="C160" t="s">
        <v>13</v>
      </c>
      <c r="D160" t="s">
        <v>15</v>
      </c>
      <c r="E160" s="10">
        <v>0.46</v>
      </c>
      <c r="F160" t="s">
        <v>12</v>
      </c>
      <c r="G160" s="14">
        <v>0.424</v>
      </c>
      <c r="H160" t="s">
        <v>17</v>
      </c>
      <c r="I160" s="14">
        <v>0.039</v>
      </c>
      <c r="J160">
        <f>IF(A160="","",--(B160=D160))</f>
        <v>1</v>
      </c>
      <c r="K160">
        <f>IF(A160="","",--OR(B160=D160,B160=F160,B160=H160))</f>
        <v>1</v>
      </c>
    </row>
    <row r="161" spans="1:11">
      <c r="A161" t="s">
        <v>63</v>
      </c>
      <c r="B161" t="s">
        <v>15</v>
      </c>
      <c r="C161" t="s">
        <v>16</v>
      </c>
      <c r="D161" t="s">
        <v>15</v>
      </c>
      <c r="E161" s="14">
        <v>0.639</v>
      </c>
      <c r="F161" t="s">
        <v>12</v>
      </c>
      <c r="G161" s="14">
        <v>0.164</v>
      </c>
      <c r="H161" t="s">
        <v>22</v>
      </c>
      <c r="I161" s="14">
        <v>0.063</v>
      </c>
      <c r="J161">
        <f>IF(A161="","",--(B161=D161))</f>
        <v>1</v>
      </c>
      <c r="K161">
        <f>IF(A161="","",--OR(B161=D161,B161=F161,B161=H161))</f>
        <v>1</v>
      </c>
    </row>
    <row r="162" spans="1:11">
      <c r="A162" t="s">
        <v>63</v>
      </c>
      <c r="B162" t="s">
        <v>15</v>
      </c>
      <c r="C162" t="s">
        <v>18</v>
      </c>
      <c r="D162" t="s">
        <v>15</v>
      </c>
      <c r="E162" s="14">
        <v>0.432</v>
      </c>
      <c r="F162" t="s">
        <v>12</v>
      </c>
      <c r="G162" s="14">
        <v>0.27</v>
      </c>
      <c r="H162" t="s">
        <v>20</v>
      </c>
      <c r="I162" s="14">
        <v>0.126</v>
      </c>
      <c r="J162">
        <v>1</v>
      </c>
      <c r="K162">
        <v>1</v>
      </c>
    </row>
    <row r="163" spans="1:11">
      <c r="A163" t="s">
        <v>64</v>
      </c>
      <c r="B163" t="s">
        <v>15</v>
      </c>
      <c r="C163" t="s">
        <v>13</v>
      </c>
      <c r="D163" t="s">
        <v>22</v>
      </c>
      <c r="E163" s="14">
        <v>0.257</v>
      </c>
      <c r="F163" t="s">
        <v>14</v>
      </c>
      <c r="G163" s="14">
        <v>0.198</v>
      </c>
      <c r="H163" t="s">
        <v>15</v>
      </c>
      <c r="I163" s="14">
        <v>0.193</v>
      </c>
      <c r="J163">
        <f>IF(A163="","",--(B163=D163))</f>
        <v>0</v>
      </c>
      <c r="K163">
        <f>IF(A163="","",--OR(B163=D163,B163=F163,B163=H163))</f>
        <v>1</v>
      </c>
    </row>
    <row r="164" spans="1:11">
      <c r="A164" t="s">
        <v>64</v>
      </c>
      <c r="B164" t="s">
        <v>15</v>
      </c>
      <c r="C164" t="s">
        <v>16</v>
      </c>
      <c r="D164" t="s">
        <v>15</v>
      </c>
      <c r="E164" s="14">
        <v>0.381</v>
      </c>
      <c r="F164" t="s">
        <v>19</v>
      </c>
      <c r="G164" s="10">
        <v>0.17</v>
      </c>
      <c r="H164" t="s">
        <v>22</v>
      </c>
      <c r="I164" s="14">
        <v>0.157</v>
      </c>
      <c r="J164">
        <f>IF(A164="","",--(B164=D164))</f>
        <v>1</v>
      </c>
      <c r="K164">
        <f>IF(A164="","",--OR(B164=D164,B164=F164,B164=H164))</f>
        <v>1</v>
      </c>
    </row>
    <row r="165" spans="1:11">
      <c r="A165" t="s">
        <v>64</v>
      </c>
      <c r="B165" t="s">
        <v>15</v>
      </c>
      <c r="C165" t="s">
        <v>18</v>
      </c>
      <c r="D165" t="s">
        <v>22</v>
      </c>
      <c r="E165" s="14">
        <v>0.397</v>
      </c>
      <c r="F165" t="s">
        <v>14</v>
      </c>
      <c r="G165" s="14">
        <v>0.337</v>
      </c>
      <c r="H165" t="s">
        <v>15</v>
      </c>
      <c r="I165" s="14">
        <v>0.116</v>
      </c>
      <c r="J165">
        <v>0</v>
      </c>
      <c r="K165">
        <v>1</v>
      </c>
    </row>
    <row r="166" spans="1:11">
      <c r="A166" t="s">
        <v>65</v>
      </c>
      <c r="B166" t="s">
        <v>15</v>
      </c>
      <c r="C166" t="s">
        <v>13</v>
      </c>
      <c r="D166" t="s">
        <v>15</v>
      </c>
      <c r="E166" s="14">
        <v>0.375</v>
      </c>
      <c r="F166" t="s">
        <v>12</v>
      </c>
      <c r="G166" s="14">
        <v>0.175</v>
      </c>
      <c r="H166" t="s">
        <v>22</v>
      </c>
      <c r="I166" s="14">
        <v>0.102</v>
      </c>
      <c r="J166">
        <f>IF(A166="","",--(B166=D166))</f>
        <v>1</v>
      </c>
      <c r="K166">
        <f>IF(A166="","",--OR(B166=D166,B166=F166,B166=H166))</f>
        <v>1</v>
      </c>
    </row>
    <row r="167" spans="1:11">
      <c r="A167" t="s">
        <v>65</v>
      </c>
      <c r="B167" t="s">
        <v>15</v>
      </c>
      <c r="C167" t="s">
        <v>16</v>
      </c>
      <c r="D167" t="s">
        <v>15</v>
      </c>
      <c r="E167" s="14">
        <v>0.661</v>
      </c>
      <c r="F167" t="s">
        <v>12</v>
      </c>
      <c r="G167" s="14">
        <v>0.126</v>
      </c>
      <c r="H167" t="s">
        <v>20</v>
      </c>
      <c r="I167" s="14">
        <v>0.069</v>
      </c>
      <c r="J167">
        <f>IF(A167="","",--(B167=D167))</f>
        <v>1</v>
      </c>
      <c r="K167">
        <f>IF(A167="","",--OR(B167=D167,B167=F167,B167=H167))</f>
        <v>1</v>
      </c>
    </row>
    <row r="168" spans="1:11">
      <c r="A168" t="s">
        <v>65</v>
      </c>
      <c r="B168" t="s">
        <v>15</v>
      </c>
      <c r="C168" t="s">
        <v>18</v>
      </c>
      <c r="D168" t="s">
        <v>15</v>
      </c>
      <c r="E168" s="10">
        <v>0.743</v>
      </c>
      <c r="F168" t="s">
        <v>12</v>
      </c>
      <c r="G168" s="14">
        <v>0.115</v>
      </c>
      <c r="H168" t="s">
        <v>14</v>
      </c>
      <c r="I168" s="14">
        <v>0.046</v>
      </c>
      <c r="J168">
        <v>1</v>
      </c>
      <c r="K168">
        <v>1</v>
      </c>
    </row>
    <row r="169" spans="1:11">
      <c r="A169" t="s">
        <v>66</v>
      </c>
      <c r="B169" t="s">
        <v>15</v>
      </c>
      <c r="C169" t="s">
        <v>13</v>
      </c>
      <c r="D169" t="s">
        <v>22</v>
      </c>
      <c r="E169" s="10">
        <v>0.32</v>
      </c>
      <c r="F169" t="s">
        <v>14</v>
      </c>
      <c r="G169" s="14">
        <v>0.278</v>
      </c>
      <c r="H169" t="s">
        <v>15</v>
      </c>
      <c r="I169" s="14">
        <v>0.186</v>
      </c>
      <c r="J169">
        <f>IF(A169="","",--(B169=D169))</f>
        <v>0</v>
      </c>
      <c r="K169">
        <f>IF(A169="","",--OR(B169=D169,B169=F169,B169=H169))</f>
        <v>1</v>
      </c>
    </row>
    <row r="170" spans="1:11">
      <c r="A170" t="s">
        <v>66</v>
      </c>
      <c r="B170" t="s">
        <v>15</v>
      </c>
      <c r="C170" t="s">
        <v>16</v>
      </c>
      <c r="D170" t="s">
        <v>19</v>
      </c>
      <c r="E170" s="14">
        <v>0.456</v>
      </c>
      <c r="F170" t="s">
        <v>22</v>
      </c>
      <c r="G170" s="14">
        <v>0.236</v>
      </c>
      <c r="H170" t="s">
        <v>15</v>
      </c>
      <c r="I170" s="14">
        <v>0.176</v>
      </c>
      <c r="J170">
        <f>IF(A170="","",--(B170=D170))</f>
        <v>0</v>
      </c>
      <c r="K170">
        <f>IF(A170="","",--OR(B170=D170,B170=F170,B170=H170))</f>
        <v>1</v>
      </c>
    </row>
    <row r="171" spans="1:11">
      <c r="A171" t="s">
        <v>66</v>
      </c>
      <c r="B171" t="s">
        <v>15</v>
      </c>
      <c r="C171" t="s">
        <v>18</v>
      </c>
      <c r="D171" t="s">
        <v>19</v>
      </c>
      <c r="E171" s="14">
        <v>0.339</v>
      </c>
      <c r="F171" t="s">
        <v>15</v>
      </c>
      <c r="G171" s="14">
        <v>0.262</v>
      </c>
      <c r="H171" t="s">
        <v>22</v>
      </c>
      <c r="I171" s="14">
        <v>0.259</v>
      </c>
      <c r="J171">
        <v>0</v>
      </c>
      <c r="K171">
        <v>1</v>
      </c>
    </row>
    <row r="172" spans="1:11">
      <c r="A172" t="s">
        <v>67</v>
      </c>
      <c r="B172" t="s">
        <v>15</v>
      </c>
      <c r="C172" t="s">
        <v>13</v>
      </c>
      <c r="D172" t="s">
        <v>15</v>
      </c>
      <c r="E172" s="14">
        <v>0.733</v>
      </c>
      <c r="F172" t="s">
        <v>22</v>
      </c>
      <c r="G172" s="14">
        <v>0.117</v>
      </c>
      <c r="H172" t="s">
        <v>12</v>
      </c>
      <c r="I172" s="14">
        <v>0.043</v>
      </c>
      <c r="J172">
        <f>IF(A172="","",--(B172=D172))</f>
        <v>1</v>
      </c>
      <c r="K172">
        <f>IF(A172="","",--OR(B172=D172,B172=F172,B172=H172))</f>
        <v>1</v>
      </c>
    </row>
    <row r="173" spans="1:11">
      <c r="A173" t="s">
        <v>67</v>
      </c>
      <c r="B173" t="s">
        <v>15</v>
      </c>
      <c r="C173" t="s">
        <v>16</v>
      </c>
      <c r="D173" t="s">
        <v>19</v>
      </c>
      <c r="E173" s="14">
        <v>0.576</v>
      </c>
      <c r="F173" t="s">
        <v>15</v>
      </c>
      <c r="G173" s="14">
        <v>0.262</v>
      </c>
      <c r="H173" t="s">
        <v>22</v>
      </c>
      <c r="I173" s="14">
        <v>0.084</v>
      </c>
      <c r="J173">
        <f>IF(A173="","",--(B173=D173))</f>
        <v>0</v>
      </c>
      <c r="K173">
        <f>IF(A173="","",--OR(B173=D173,B173=F173,B173=H173))</f>
        <v>1</v>
      </c>
    </row>
    <row r="174" spans="1:11">
      <c r="A174" t="s">
        <v>67</v>
      </c>
      <c r="B174" t="s">
        <v>15</v>
      </c>
      <c r="C174" t="s">
        <v>18</v>
      </c>
      <c r="D174" t="s">
        <v>19</v>
      </c>
      <c r="E174" s="14">
        <v>0.441</v>
      </c>
      <c r="F174" t="s">
        <v>15</v>
      </c>
      <c r="G174" s="14">
        <v>0.377</v>
      </c>
      <c r="H174" t="s">
        <v>22</v>
      </c>
      <c r="I174" s="14">
        <v>0.091</v>
      </c>
      <c r="J174">
        <v>0</v>
      </c>
      <c r="K174">
        <v>1</v>
      </c>
    </row>
    <row r="175" spans="1:11">
      <c r="A175" t="s">
        <v>68</v>
      </c>
      <c r="B175" t="s">
        <v>15</v>
      </c>
      <c r="C175" t="s">
        <v>13</v>
      </c>
      <c r="D175" t="s">
        <v>15</v>
      </c>
      <c r="E175" s="14">
        <v>0.338</v>
      </c>
      <c r="F175" t="s">
        <v>19</v>
      </c>
      <c r="G175" s="14">
        <v>0.173</v>
      </c>
      <c r="H175" t="s">
        <v>22</v>
      </c>
      <c r="I175" s="14">
        <v>0.151</v>
      </c>
      <c r="J175">
        <f>IF(A175="","",--(B175=D175))</f>
        <v>1</v>
      </c>
      <c r="K175">
        <f>IF(A175="","",--OR(B175=D175,B175=F175,B175=H175))</f>
        <v>1</v>
      </c>
    </row>
    <row r="176" spans="1:11">
      <c r="A176" t="s">
        <v>68</v>
      </c>
      <c r="B176" t="s">
        <v>15</v>
      </c>
      <c r="C176" t="s">
        <v>16</v>
      </c>
      <c r="D176" t="s">
        <v>19</v>
      </c>
      <c r="E176" s="10">
        <v>0.53</v>
      </c>
      <c r="F176" t="s">
        <v>15</v>
      </c>
      <c r="G176" s="14">
        <v>0.229</v>
      </c>
      <c r="H176" t="s">
        <v>12</v>
      </c>
      <c r="I176" s="14">
        <v>0.075</v>
      </c>
      <c r="J176">
        <f>IF(A176="","",--(B176=D176))</f>
        <v>0</v>
      </c>
      <c r="K176">
        <f>IF(A176="","",--OR(B176=D176,B176=F176,B176=H176))</f>
        <v>1</v>
      </c>
    </row>
    <row r="177" spans="1:11">
      <c r="A177" t="s">
        <v>68</v>
      </c>
      <c r="B177" t="s">
        <v>15</v>
      </c>
      <c r="C177" t="s">
        <v>18</v>
      </c>
      <c r="D177" t="s">
        <v>19</v>
      </c>
      <c r="E177" s="14">
        <v>0.82</v>
      </c>
      <c r="F177" t="s">
        <v>15</v>
      </c>
      <c r="G177" s="10">
        <v>0.101</v>
      </c>
      <c r="H177" t="s">
        <v>22</v>
      </c>
      <c r="I177" s="14">
        <v>0.028</v>
      </c>
      <c r="J177">
        <v>0</v>
      </c>
      <c r="K177">
        <v>1</v>
      </c>
    </row>
    <row r="178" spans="1:11">
      <c r="A178" t="s">
        <v>69</v>
      </c>
      <c r="B178" t="s">
        <v>15</v>
      </c>
      <c r="C178" t="s">
        <v>13</v>
      </c>
      <c r="D178" t="s">
        <v>19</v>
      </c>
      <c r="E178" s="14">
        <v>0.479</v>
      </c>
      <c r="F178" t="s">
        <v>15</v>
      </c>
      <c r="G178" s="10">
        <v>0.17</v>
      </c>
      <c r="H178" t="s">
        <v>12</v>
      </c>
      <c r="I178" s="14">
        <v>0.128</v>
      </c>
      <c r="J178">
        <f>IF(A178="","",--(B178=D178))</f>
        <v>0</v>
      </c>
      <c r="K178">
        <f>IF(A178="","",--OR(B178=D178,B178=F178,B178=H178))</f>
        <v>1</v>
      </c>
    </row>
    <row r="179" spans="1:11">
      <c r="A179" t="s">
        <v>69</v>
      </c>
      <c r="B179" t="s">
        <v>15</v>
      </c>
      <c r="C179" t="s">
        <v>16</v>
      </c>
      <c r="D179" t="s">
        <v>15</v>
      </c>
      <c r="E179" s="14">
        <v>0.362</v>
      </c>
      <c r="F179" t="s">
        <v>12</v>
      </c>
      <c r="G179" s="14">
        <v>0.337</v>
      </c>
      <c r="H179" t="s">
        <v>22</v>
      </c>
      <c r="I179" s="14">
        <v>0.164</v>
      </c>
      <c r="J179">
        <f>IF(A179="","",--(B179=D179))</f>
        <v>1</v>
      </c>
      <c r="K179">
        <f>IF(A179="","",--OR(B179=D179,B179=F179,B179=H179))</f>
        <v>1</v>
      </c>
    </row>
    <row r="180" spans="1:11">
      <c r="A180" t="s">
        <v>69</v>
      </c>
      <c r="B180" t="s">
        <v>15</v>
      </c>
      <c r="C180" t="s">
        <v>18</v>
      </c>
      <c r="D180" t="s">
        <v>12</v>
      </c>
      <c r="E180" s="14">
        <v>0.317</v>
      </c>
      <c r="F180" t="s">
        <v>15</v>
      </c>
      <c r="G180" s="14">
        <v>0.291</v>
      </c>
      <c r="H180" t="s">
        <v>22</v>
      </c>
      <c r="I180" s="14">
        <v>0.162</v>
      </c>
      <c r="J180">
        <v>0</v>
      </c>
      <c r="K180">
        <v>1</v>
      </c>
    </row>
    <row r="181" spans="1:11">
      <c r="A181" t="s">
        <v>70</v>
      </c>
      <c r="B181" t="s">
        <v>15</v>
      </c>
      <c r="C181" t="s">
        <v>13</v>
      </c>
      <c r="D181" t="s">
        <v>14</v>
      </c>
      <c r="E181" s="14">
        <v>0.309</v>
      </c>
      <c r="F181" t="s">
        <v>22</v>
      </c>
      <c r="G181" s="14">
        <v>0.238</v>
      </c>
      <c r="H181" t="s">
        <v>19</v>
      </c>
      <c r="I181" s="14">
        <v>0.169</v>
      </c>
      <c r="J181">
        <f t="shared" ref="J181:J192" si="8">IF(A181="","",--(B181=D181))</f>
        <v>0</v>
      </c>
      <c r="K181">
        <f t="shared" ref="K181:K192" si="9">IF(A181="","",--OR(B181=D181,B181=F181,B181=H181))</f>
        <v>0</v>
      </c>
    </row>
    <row r="182" spans="1:11">
      <c r="A182" t="s">
        <v>70</v>
      </c>
      <c r="B182" t="s">
        <v>15</v>
      </c>
      <c r="C182" t="s">
        <v>16</v>
      </c>
      <c r="D182" t="s">
        <v>12</v>
      </c>
      <c r="E182" s="10">
        <v>0.63</v>
      </c>
      <c r="F182" t="s">
        <v>15</v>
      </c>
      <c r="G182" s="14">
        <v>0.149</v>
      </c>
      <c r="H182" t="s">
        <v>22</v>
      </c>
      <c r="I182" s="14">
        <v>0.114</v>
      </c>
      <c r="J182">
        <f t="shared" si="8"/>
        <v>0</v>
      </c>
      <c r="K182">
        <f t="shared" si="9"/>
        <v>1</v>
      </c>
    </row>
    <row r="183" spans="1:11">
      <c r="A183" t="s">
        <v>70</v>
      </c>
      <c r="B183" t="s">
        <v>15</v>
      </c>
      <c r="C183" t="s">
        <v>18</v>
      </c>
      <c r="D183" t="s">
        <v>12</v>
      </c>
      <c r="E183" s="14">
        <v>0.508</v>
      </c>
      <c r="F183" t="s">
        <v>15</v>
      </c>
      <c r="G183" s="14">
        <v>0.254</v>
      </c>
      <c r="H183" t="s">
        <v>22</v>
      </c>
      <c r="I183" s="14">
        <v>0.145</v>
      </c>
      <c r="J183">
        <f t="shared" si="8"/>
        <v>0</v>
      </c>
      <c r="K183">
        <f t="shared" si="9"/>
        <v>1</v>
      </c>
    </row>
    <row r="184" spans="10:11">
      <c r="J184" t="str">
        <f t="shared" si="8"/>
        <v/>
      </c>
      <c r="K184" t="str">
        <f t="shared" si="9"/>
        <v/>
      </c>
    </row>
    <row r="185" spans="10:11">
      <c r="J185" t="str">
        <f t="shared" si="8"/>
        <v/>
      </c>
      <c r="K185" t="str">
        <f t="shared" si="9"/>
        <v/>
      </c>
    </row>
    <row r="186" spans="10:11">
      <c r="J186" t="str">
        <f t="shared" si="8"/>
        <v/>
      </c>
      <c r="K186" t="str">
        <f t="shared" si="9"/>
        <v/>
      </c>
    </row>
    <row r="187" spans="10:11">
      <c r="J187" t="str">
        <f t="shared" si="8"/>
        <v/>
      </c>
      <c r="K187" t="str">
        <f t="shared" si="9"/>
        <v/>
      </c>
    </row>
    <row r="188" spans="10:11">
      <c r="J188" t="str">
        <f t="shared" si="8"/>
        <v/>
      </c>
      <c r="K188" t="str">
        <f t="shared" si="9"/>
        <v/>
      </c>
    </row>
    <row r="189" spans="10:11">
      <c r="J189" t="str">
        <f t="shared" si="8"/>
        <v/>
      </c>
      <c r="K189" t="str">
        <f t="shared" si="9"/>
        <v/>
      </c>
    </row>
    <row r="190" spans="10:11">
      <c r="J190" t="str">
        <f t="shared" si="8"/>
        <v/>
      </c>
      <c r="K190" t="str">
        <f t="shared" si="9"/>
        <v/>
      </c>
    </row>
    <row r="191" spans="1:11">
      <c r="A191" t="s">
        <v>71</v>
      </c>
      <c r="B191" t="s">
        <v>22</v>
      </c>
      <c r="C191" t="s">
        <v>13</v>
      </c>
      <c r="D191" t="s">
        <v>12</v>
      </c>
      <c r="E191" s="14">
        <v>0.381</v>
      </c>
      <c r="F191" t="s">
        <v>22</v>
      </c>
      <c r="G191" s="14">
        <v>0.342</v>
      </c>
      <c r="H191" t="s">
        <v>19</v>
      </c>
      <c r="I191" s="14">
        <v>0.079</v>
      </c>
      <c r="J191">
        <f t="shared" si="8"/>
        <v>0</v>
      </c>
      <c r="K191">
        <f t="shared" si="9"/>
        <v>1</v>
      </c>
    </row>
    <row r="192" spans="1:11">
      <c r="A192" t="s">
        <v>71</v>
      </c>
      <c r="B192" t="s">
        <v>22</v>
      </c>
      <c r="C192" t="s">
        <v>16</v>
      </c>
      <c r="D192" t="s">
        <v>12</v>
      </c>
      <c r="E192" s="14">
        <v>0.582</v>
      </c>
      <c r="F192" t="s">
        <v>22</v>
      </c>
      <c r="G192" s="10">
        <v>0.12</v>
      </c>
      <c r="H192" t="s">
        <v>15</v>
      </c>
      <c r="I192" s="14">
        <v>0.081</v>
      </c>
      <c r="J192">
        <f t="shared" si="8"/>
        <v>0</v>
      </c>
      <c r="K192">
        <f t="shared" si="9"/>
        <v>1</v>
      </c>
    </row>
    <row r="193" spans="1:11">
      <c r="A193" t="s">
        <v>71</v>
      </c>
      <c r="B193" t="s">
        <v>22</v>
      </c>
      <c r="C193" t="s">
        <v>18</v>
      </c>
      <c r="D193" t="s">
        <v>22</v>
      </c>
      <c r="E193" s="14">
        <v>0.323</v>
      </c>
      <c r="F193" t="s">
        <v>14</v>
      </c>
      <c r="G193" s="14">
        <v>0.255</v>
      </c>
      <c r="H193" t="s">
        <v>12</v>
      </c>
      <c r="I193" s="14">
        <v>0.218</v>
      </c>
      <c r="J193">
        <v>1</v>
      </c>
      <c r="K193">
        <v>1</v>
      </c>
    </row>
    <row r="194" spans="1:11">
      <c r="A194" t="s">
        <v>72</v>
      </c>
      <c r="B194" t="s">
        <v>22</v>
      </c>
      <c r="C194" t="s">
        <v>13</v>
      </c>
      <c r="D194" t="s">
        <v>22</v>
      </c>
      <c r="E194" s="14">
        <v>0.305</v>
      </c>
      <c r="F194" t="s">
        <v>19</v>
      </c>
      <c r="G194" s="14">
        <v>0.231</v>
      </c>
      <c r="H194" t="s">
        <v>12</v>
      </c>
      <c r="I194" s="14">
        <v>0.228</v>
      </c>
      <c r="J194">
        <f>IF(A194="","",--(B194=D194))</f>
        <v>1</v>
      </c>
      <c r="K194">
        <f>IF(A194="","",--OR(B194=D194,B194=F194,B194=H194))</f>
        <v>1</v>
      </c>
    </row>
    <row r="195" spans="1:11">
      <c r="A195" t="s">
        <v>72</v>
      </c>
      <c r="B195" t="s">
        <v>22</v>
      </c>
      <c r="C195" t="s">
        <v>16</v>
      </c>
      <c r="D195" t="s">
        <v>15</v>
      </c>
      <c r="E195" s="14">
        <v>0.685</v>
      </c>
      <c r="F195" t="s">
        <v>22</v>
      </c>
      <c r="G195" s="14">
        <v>0.131</v>
      </c>
      <c r="H195" t="s">
        <v>12</v>
      </c>
      <c r="I195" s="14">
        <v>0.049</v>
      </c>
      <c r="J195">
        <f>IF(A195="","",--(B195=D195))</f>
        <v>0</v>
      </c>
      <c r="K195">
        <f>IF(A195="","",--OR(B195=D195,B195=F195,B195=H195))</f>
        <v>1</v>
      </c>
    </row>
    <row r="196" spans="1:11">
      <c r="A196" t="s">
        <v>72</v>
      </c>
      <c r="B196" t="s">
        <v>22</v>
      </c>
      <c r="C196" t="s">
        <v>18</v>
      </c>
      <c r="D196" t="s">
        <v>22</v>
      </c>
      <c r="E196" s="14">
        <v>0.37</v>
      </c>
      <c r="F196" t="s">
        <v>15</v>
      </c>
      <c r="G196" s="14">
        <v>0.318</v>
      </c>
      <c r="H196" t="s">
        <v>19</v>
      </c>
      <c r="I196" s="14">
        <v>0.134</v>
      </c>
      <c r="J196">
        <v>1</v>
      </c>
      <c r="K196">
        <v>1</v>
      </c>
    </row>
    <row r="197" spans="1:11">
      <c r="A197" t="s">
        <v>73</v>
      </c>
      <c r="B197" t="s">
        <v>22</v>
      </c>
      <c r="C197" t="s">
        <v>13</v>
      </c>
      <c r="D197" t="s">
        <v>14</v>
      </c>
      <c r="E197" s="14">
        <v>0.474</v>
      </c>
      <c r="F197" t="s">
        <v>22</v>
      </c>
      <c r="G197" s="14">
        <v>0.169</v>
      </c>
      <c r="H197" t="s">
        <v>19</v>
      </c>
      <c r="I197" s="14">
        <v>0.168</v>
      </c>
      <c r="J197">
        <f>IF(A197="","",--(B197=D197))</f>
        <v>0</v>
      </c>
      <c r="K197">
        <f>IF(A197="","",--OR(B197=D197,B197=F197,B197=H197))</f>
        <v>1</v>
      </c>
    </row>
    <row r="198" spans="1:11">
      <c r="A198" t="s">
        <v>73</v>
      </c>
      <c r="B198" t="s">
        <v>22</v>
      </c>
      <c r="C198" t="s">
        <v>16</v>
      </c>
      <c r="D198" t="s">
        <v>19</v>
      </c>
      <c r="E198" s="14">
        <v>0.496</v>
      </c>
      <c r="F198" t="s">
        <v>22</v>
      </c>
      <c r="G198" s="14">
        <v>0.201</v>
      </c>
      <c r="H198" t="s">
        <v>14</v>
      </c>
      <c r="I198" s="14">
        <v>0.121</v>
      </c>
      <c r="J198">
        <f>IF(A198="","",--(B198=D198))</f>
        <v>0</v>
      </c>
      <c r="K198">
        <f>IF(A198="","",--OR(B198=D198,B198=F198,B198=H198))</f>
        <v>1</v>
      </c>
    </row>
    <row r="199" spans="1:11">
      <c r="A199" t="s">
        <v>73</v>
      </c>
      <c r="B199" t="s">
        <v>22</v>
      </c>
      <c r="C199" t="s">
        <v>18</v>
      </c>
      <c r="D199" t="s">
        <v>19</v>
      </c>
      <c r="E199" s="14">
        <v>0.427</v>
      </c>
      <c r="F199" t="s">
        <v>22</v>
      </c>
      <c r="G199" s="14">
        <v>0.242</v>
      </c>
      <c r="H199" t="s">
        <v>12</v>
      </c>
      <c r="I199" s="14">
        <v>0.112</v>
      </c>
      <c r="J199">
        <v>0</v>
      </c>
      <c r="K199">
        <v>1</v>
      </c>
    </row>
    <row r="200" spans="1:11">
      <c r="A200" t="s">
        <v>74</v>
      </c>
      <c r="B200" t="s">
        <v>22</v>
      </c>
      <c r="C200" t="s">
        <v>13</v>
      </c>
      <c r="D200" t="s">
        <v>14</v>
      </c>
      <c r="E200" s="14">
        <v>0.608</v>
      </c>
      <c r="F200" t="s">
        <v>12</v>
      </c>
      <c r="G200" s="14">
        <v>0.169</v>
      </c>
      <c r="H200" t="s">
        <v>19</v>
      </c>
      <c r="I200" s="14">
        <v>0.085</v>
      </c>
      <c r="J200">
        <f>IF(A200="","",--(B200=D200))</f>
        <v>0</v>
      </c>
      <c r="K200">
        <f>IF(A200="","",--OR(B200=D200,B200=F200,B200=H200))</f>
        <v>0</v>
      </c>
    </row>
    <row r="201" spans="1:11">
      <c r="A201" t="s">
        <v>74</v>
      </c>
      <c r="B201" t="s">
        <v>22</v>
      </c>
      <c r="C201" t="s">
        <v>16</v>
      </c>
      <c r="D201" t="s">
        <v>20</v>
      </c>
      <c r="E201" s="14">
        <v>0.279</v>
      </c>
      <c r="F201" t="s">
        <v>12</v>
      </c>
      <c r="G201" s="14">
        <v>0.238</v>
      </c>
      <c r="H201" t="s">
        <v>15</v>
      </c>
      <c r="I201" s="14">
        <v>0.233</v>
      </c>
      <c r="J201">
        <f>IF(A201="","",--(B201=D201))</f>
        <v>0</v>
      </c>
      <c r="K201">
        <f>IF(A201="","",--OR(B201=D201,B201=F201,B201=H201))</f>
        <v>0</v>
      </c>
    </row>
    <row r="202" spans="1:11">
      <c r="A202" t="s">
        <v>74</v>
      </c>
      <c r="B202" t="s">
        <v>22</v>
      </c>
      <c r="C202" t="s">
        <v>18</v>
      </c>
      <c r="D202" t="s">
        <v>14</v>
      </c>
      <c r="E202" s="14">
        <v>0.29</v>
      </c>
      <c r="F202" t="s">
        <v>15</v>
      </c>
      <c r="G202" s="14">
        <v>0.235</v>
      </c>
      <c r="H202" t="s">
        <v>22</v>
      </c>
      <c r="I202" s="14">
        <v>0.212</v>
      </c>
      <c r="J202">
        <v>0</v>
      </c>
      <c r="K202">
        <v>1</v>
      </c>
    </row>
    <row r="203" spans="1:11">
      <c r="A203" t="s">
        <v>75</v>
      </c>
      <c r="B203" t="s">
        <v>22</v>
      </c>
      <c r="C203" t="s">
        <v>13</v>
      </c>
      <c r="D203" t="s">
        <v>19</v>
      </c>
      <c r="E203" s="14">
        <v>0.542</v>
      </c>
      <c r="F203" t="s">
        <v>12</v>
      </c>
      <c r="G203" s="14">
        <v>0.164</v>
      </c>
      <c r="H203" t="s">
        <v>20</v>
      </c>
      <c r="I203" s="14">
        <v>0.119</v>
      </c>
      <c r="J203">
        <f>IF(A203="","",--(B203=D203))</f>
        <v>0</v>
      </c>
      <c r="K203">
        <f>IF(A203="","",--OR(B203=D203,B203=F203,B203=H203))</f>
        <v>0</v>
      </c>
    </row>
    <row r="204" spans="1:11">
      <c r="A204" t="s">
        <v>75</v>
      </c>
      <c r="B204" t="s">
        <v>22</v>
      </c>
      <c r="C204" t="s">
        <v>16</v>
      </c>
      <c r="D204" t="s">
        <v>15</v>
      </c>
      <c r="E204" s="14">
        <v>0.364</v>
      </c>
      <c r="F204" t="s">
        <v>22</v>
      </c>
      <c r="G204" s="14">
        <v>0.263</v>
      </c>
      <c r="H204" t="s">
        <v>19</v>
      </c>
      <c r="I204" s="14">
        <v>0.211</v>
      </c>
      <c r="J204">
        <f>IF(A204="","",--(B204=D204))</f>
        <v>0</v>
      </c>
      <c r="K204">
        <f>IF(A204="","",--OR(B204=D204,B204=F204,B204=H204))</f>
        <v>1</v>
      </c>
    </row>
    <row r="205" spans="1:11">
      <c r="A205" t="s">
        <v>75</v>
      </c>
      <c r="B205" t="s">
        <v>22</v>
      </c>
      <c r="C205" t="s">
        <v>18</v>
      </c>
      <c r="D205" t="s">
        <v>22</v>
      </c>
      <c r="E205" s="14">
        <v>0.402</v>
      </c>
      <c r="F205" t="s">
        <v>19</v>
      </c>
      <c r="G205" s="10">
        <v>0.299</v>
      </c>
      <c r="H205" t="s">
        <v>15</v>
      </c>
      <c r="I205" s="14">
        <v>0.129</v>
      </c>
      <c r="J205">
        <v>1</v>
      </c>
      <c r="K205">
        <v>1</v>
      </c>
    </row>
    <row r="206" spans="1:11">
      <c r="A206" t="s">
        <v>76</v>
      </c>
      <c r="B206" t="s">
        <v>22</v>
      </c>
      <c r="C206" t="s">
        <v>13</v>
      </c>
      <c r="D206" t="s">
        <v>14</v>
      </c>
      <c r="E206" s="14">
        <v>0.254</v>
      </c>
      <c r="F206" t="s">
        <v>19</v>
      </c>
      <c r="G206" s="10">
        <v>0.19</v>
      </c>
      <c r="H206" t="s">
        <v>15</v>
      </c>
      <c r="I206" s="14">
        <v>0.181</v>
      </c>
      <c r="J206">
        <f>IF(A206="","",--(B206=D206))</f>
        <v>0</v>
      </c>
      <c r="K206">
        <f>IF(A206="","",--OR(B206=D206,B206=F206,B206=H206))</f>
        <v>0</v>
      </c>
    </row>
    <row r="207" spans="1:11">
      <c r="A207" t="s">
        <v>76</v>
      </c>
      <c r="B207" t="s">
        <v>22</v>
      </c>
      <c r="C207" t="s">
        <v>16</v>
      </c>
      <c r="D207" t="s">
        <v>15</v>
      </c>
      <c r="E207" s="14">
        <v>0.597</v>
      </c>
      <c r="F207" t="s">
        <v>19</v>
      </c>
      <c r="G207" s="14">
        <v>0.133</v>
      </c>
      <c r="H207" t="s">
        <v>22</v>
      </c>
      <c r="I207" s="14">
        <v>0.124</v>
      </c>
      <c r="J207">
        <f>IF(A207="","",--(B207=D207))</f>
        <v>0</v>
      </c>
      <c r="K207">
        <f>IF(A207="","",--OR(B207=D207,B207=F207,B207=H207))</f>
        <v>1</v>
      </c>
    </row>
    <row r="208" spans="1:11">
      <c r="A208" t="s">
        <v>76</v>
      </c>
      <c r="B208" t="s">
        <v>22</v>
      </c>
      <c r="C208" t="s">
        <v>18</v>
      </c>
      <c r="D208" t="s">
        <v>15</v>
      </c>
      <c r="E208" s="14">
        <v>0.616</v>
      </c>
      <c r="F208" t="s">
        <v>19</v>
      </c>
      <c r="G208" s="14">
        <v>0.238</v>
      </c>
      <c r="H208" t="s">
        <v>22</v>
      </c>
      <c r="I208" s="14">
        <v>0.054</v>
      </c>
      <c r="J208">
        <v>0</v>
      </c>
      <c r="K208">
        <v>1</v>
      </c>
    </row>
    <row r="209" spans="1:11">
      <c r="A209" t="s">
        <v>77</v>
      </c>
      <c r="B209" t="s">
        <v>22</v>
      </c>
      <c r="C209" t="s">
        <v>13</v>
      </c>
      <c r="D209" t="s">
        <v>19</v>
      </c>
      <c r="E209" s="14">
        <v>0.335</v>
      </c>
      <c r="F209" t="s">
        <v>22</v>
      </c>
      <c r="G209" s="14">
        <v>0.294</v>
      </c>
      <c r="H209" t="s">
        <v>14</v>
      </c>
      <c r="I209" s="14">
        <v>0.128</v>
      </c>
      <c r="J209">
        <f>IF(A209="","",--(B209=D209))</f>
        <v>0</v>
      </c>
      <c r="K209">
        <f>IF(A209="","",--OR(B209=D209,B209=F209,B209=H209))</f>
        <v>1</v>
      </c>
    </row>
    <row r="210" spans="1:11">
      <c r="A210" t="s">
        <v>77</v>
      </c>
      <c r="B210" t="s">
        <v>22</v>
      </c>
      <c r="C210" t="s">
        <v>16</v>
      </c>
      <c r="D210" t="s">
        <v>22</v>
      </c>
      <c r="E210" s="14">
        <v>0.529</v>
      </c>
      <c r="F210" t="s">
        <v>15</v>
      </c>
      <c r="G210" s="14">
        <v>0.277</v>
      </c>
      <c r="H210" t="s">
        <v>14</v>
      </c>
      <c r="I210" s="14">
        <v>0.082</v>
      </c>
      <c r="J210">
        <f>IF(A210="","",--(B210=D210))</f>
        <v>1</v>
      </c>
      <c r="K210">
        <f>IF(A210="","",--OR(B210=D210,B210=F210,B210=H210))</f>
        <v>1</v>
      </c>
    </row>
    <row r="211" spans="1:11">
      <c r="A211" t="s">
        <v>77</v>
      </c>
      <c r="B211" t="s">
        <v>22</v>
      </c>
      <c r="C211" t="s">
        <v>18</v>
      </c>
      <c r="D211" t="s">
        <v>14</v>
      </c>
      <c r="E211" s="14">
        <v>0.398</v>
      </c>
      <c r="F211" t="s">
        <v>22</v>
      </c>
      <c r="G211" s="14">
        <v>0.389</v>
      </c>
      <c r="H211" t="s">
        <v>15</v>
      </c>
      <c r="I211" s="14">
        <v>0.109</v>
      </c>
      <c r="J211">
        <v>0</v>
      </c>
      <c r="K211">
        <v>1</v>
      </c>
    </row>
    <row r="212" spans="1:11">
      <c r="A212" t="s">
        <v>78</v>
      </c>
      <c r="B212" t="s">
        <v>22</v>
      </c>
      <c r="C212" t="s">
        <v>13</v>
      </c>
      <c r="D212" t="s">
        <v>22</v>
      </c>
      <c r="E212" s="14">
        <v>0.647</v>
      </c>
      <c r="F212" t="s">
        <v>19</v>
      </c>
      <c r="G212" s="14">
        <v>0.145</v>
      </c>
      <c r="H212" t="s">
        <v>12</v>
      </c>
      <c r="I212" s="14">
        <v>0.067</v>
      </c>
      <c r="J212">
        <f>IF(A212="","",--(B212=D212))</f>
        <v>1</v>
      </c>
      <c r="K212">
        <f>IF(A212="","",--OR(B212=D212,B212=F212,B212=H212))</f>
        <v>1</v>
      </c>
    </row>
    <row r="213" spans="1:11">
      <c r="A213" t="s">
        <v>78</v>
      </c>
      <c r="B213" t="s">
        <v>22</v>
      </c>
      <c r="C213" t="s">
        <v>16</v>
      </c>
      <c r="D213" t="s">
        <v>22</v>
      </c>
      <c r="E213" s="14">
        <v>0.358</v>
      </c>
      <c r="F213" t="s">
        <v>15</v>
      </c>
      <c r="G213" s="14">
        <v>0.301</v>
      </c>
      <c r="H213" t="s">
        <v>19</v>
      </c>
      <c r="I213" s="14">
        <v>0.158</v>
      </c>
      <c r="J213">
        <f>IF(A213="","",--(B213=D213))</f>
        <v>1</v>
      </c>
      <c r="K213">
        <f>IF(A213="","",--OR(B213=D213,B213=F213,B213=H213))</f>
        <v>1</v>
      </c>
    </row>
    <row r="214" spans="1:11">
      <c r="A214" t="s">
        <v>78</v>
      </c>
      <c r="B214" t="s">
        <v>22</v>
      </c>
      <c r="C214" t="s">
        <v>18</v>
      </c>
      <c r="D214" t="s">
        <v>15</v>
      </c>
      <c r="E214" s="14">
        <v>0.383</v>
      </c>
      <c r="F214" t="s">
        <v>22</v>
      </c>
      <c r="G214" s="14">
        <v>0.347</v>
      </c>
      <c r="H214" t="s">
        <v>19</v>
      </c>
      <c r="I214" s="14">
        <v>0.09</v>
      </c>
      <c r="J214">
        <v>0</v>
      </c>
      <c r="K214">
        <v>1</v>
      </c>
    </row>
    <row r="215" spans="1:11">
      <c r="A215" t="s">
        <v>79</v>
      </c>
      <c r="B215" t="s">
        <v>22</v>
      </c>
      <c r="C215" t="s">
        <v>13</v>
      </c>
      <c r="D215" t="s">
        <v>14</v>
      </c>
      <c r="E215" s="14">
        <v>0.759</v>
      </c>
      <c r="F215" t="s">
        <v>22</v>
      </c>
      <c r="G215" s="14">
        <v>0.103</v>
      </c>
      <c r="H215" t="s">
        <v>19</v>
      </c>
      <c r="I215" s="14">
        <v>0.065</v>
      </c>
      <c r="J215">
        <f>IF(A215="","",--(B215=D215))</f>
        <v>0</v>
      </c>
      <c r="K215">
        <f>IF(A215="","",--OR(B215=D215,B215=F215,B215=H215))</f>
        <v>1</v>
      </c>
    </row>
    <row r="216" spans="1:11">
      <c r="A216" t="s">
        <v>79</v>
      </c>
      <c r="B216" t="s">
        <v>22</v>
      </c>
      <c r="C216" t="s">
        <v>16</v>
      </c>
      <c r="D216" t="s">
        <v>19</v>
      </c>
      <c r="E216" s="14">
        <v>0.458</v>
      </c>
      <c r="F216" t="s">
        <v>15</v>
      </c>
      <c r="G216" s="14">
        <v>0.216</v>
      </c>
      <c r="H216" t="s">
        <v>14</v>
      </c>
      <c r="I216" s="14">
        <v>0.115</v>
      </c>
      <c r="J216">
        <f>IF(A216="","",--(B216=D216))</f>
        <v>0</v>
      </c>
      <c r="K216">
        <f>IF(A216="","",--OR(B216=D216,B216=F216,B216=H216))</f>
        <v>0</v>
      </c>
    </row>
    <row r="217" spans="1:11">
      <c r="A217" t="s">
        <v>79</v>
      </c>
      <c r="B217" t="s">
        <v>22</v>
      </c>
      <c r="C217" t="s">
        <v>18</v>
      </c>
      <c r="D217" t="s">
        <v>15</v>
      </c>
      <c r="E217" s="14">
        <v>0.328</v>
      </c>
      <c r="F217" t="s">
        <v>19</v>
      </c>
      <c r="G217" s="14">
        <v>0.207</v>
      </c>
      <c r="H217" t="s">
        <v>22</v>
      </c>
      <c r="I217" s="14">
        <v>0.177</v>
      </c>
      <c r="J217">
        <v>0</v>
      </c>
      <c r="K217">
        <v>1</v>
      </c>
    </row>
    <row r="218" spans="1:11">
      <c r="A218" t="s">
        <v>80</v>
      </c>
      <c r="B218" t="s">
        <v>22</v>
      </c>
      <c r="C218" t="s">
        <v>13</v>
      </c>
      <c r="D218" t="s">
        <v>14</v>
      </c>
      <c r="E218" s="14">
        <v>0.503</v>
      </c>
      <c r="F218" t="s">
        <v>19</v>
      </c>
      <c r="G218" s="14">
        <v>0.174</v>
      </c>
      <c r="H218" t="s">
        <v>15</v>
      </c>
      <c r="I218" s="14">
        <v>0.115</v>
      </c>
      <c r="J218">
        <f t="shared" ref="J218:J232" si="10">IF(A218="","",--(B218=D218))</f>
        <v>0</v>
      </c>
      <c r="K218">
        <f t="shared" ref="K218:K230" si="11">IF(A218="","",--OR(B218=D218,B218=F218,B218=H218))</f>
        <v>0</v>
      </c>
    </row>
    <row r="219" spans="1:11">
      <c r="A219" t="s">
        <v>80</v>
      </c>
      <c r="B219" t="s">
        <v>22</v>
      </c>
      <c r="C219" t="s">
        <v>16</v>
      </c>
      <c r="D219" t="s">
        <v>22</v>
      </c>
      <c r="E219" s="14">
        <v>0.539</v>
      </c>
      <c r="F219" t="s">
        <v>15</v>
      </c>
      <c r="G219" s="14">
        <v>0.303</v>
      </c>
      <c r="H219" t="s">
        <v>19</v>
      </c>
      <c r="I219" s="14">
        <v>0.071</v>
      </c>
      <c r="J219">
        <f t="shared" si="10"/>
        <v>1</v>
      </c>
      <c r="K219">
        <f t="shared" si="11"/>
        <v>1</v>
      </c>
    </row>
    <row r="220" spans="1:11">
      <c r="A220" t="s">
        <v>80</v>
      </c>
      <c r="B220" t="s">
        <v>22</v>
      </c>
      <c r="C220" t="s">
        <v>18</v>
      </c>
      <c r="D220" t="s">
        <v>22</v>
      </c>
      <c r="E220" s="14">
        <v>0.496</v>
      </c>
      <c r="F220" t="s">
        <v>15</v>
      </c>
      <c r="G220" s="10">
        <v>0.23</v>
      </c>
      <c r="H220" t="s">
        <v>14</v>
      </c>
      <c r="I220" s="14">
        <v>0.105</v>
      </c>
      <c r="J220">
        <f t="shared" si="10"/>
        <v>1</v>
      </c>
      <c r="K220">
        <f t="shared" si="11"/>
        <v>1</v>
      </c>
    </row>
    <row r="221" spans="10:11">
      <c r="J221" t="str">
        <f t="shared" si="10"/>
        <v/>
      </c>
      <c r="K221" t="str">
        <f t="shared" si="11"/>
        <v/>
      </c>
    </row>
    <row r="222" spans="10:11">
      <c r="J222" t="str">
        <f t="shared" si="10"/>
        <v/>
      </c>
      <c r="K222" t="str">
        <f t="shared" si="11"/>
        <v/>
      </c>
    </row>
    <row r="223" spans="10:11">
      <c r="J223" t="str">
        <f t="shared" si="10"/>
        <v/>
      </c>
      <c r="K223" t="str">
        <f t="shared" si="11"/>
        <v/>
      </c>
    </row>
    <row r="224" spans="10:11">
      <c r="J224" t="str">
        <f t="shared" si="10"/>
        <v/>
      </c>
      <c r="K224" t="str">
        <f t="shared" si="11"/>
        <v/>
      </c>
    </row>
    <row r="225" spans="10:11">
      <c r="J225" t="str">
        <f t="shared" si="10"/>
        <v/>
      </c>
      <c r="K225" t="str">
        <f t="shared" si="11"/>
        <v/>
      </c>
    </row>
    <row r="226" spans="10:11">
      <c r="J226" t="str">
        <f t="shared" si="10"/>
        <v/>
      </c>
      <c r="K226" t="str">
        <f t="shared" si="11"/>
        <v/>
      </c>
    </row>
    <row r="227" spans="10:11">
      <c r="J227" t="str">
        <f t="shared" si="10"/>
        <v/>
      </c>
      <c r="K227" t="str">
        <f t="shared" si="11"/>
        <v/>
      </c>
    </row>
    <row r="228" spans="10:11">
      <c r="J228" t="str">
        <f t="shared" si="10"/>
        <v/>
      </c>
      <c r="K228" t="str">
        <f t="shared" si="11"/>
        <v/>
      </c>
    </row>
    <row r="229" spans="1:11">
      <c r="A229" t="s">
        <v>81</v>
      </c>
      <c r="B229" t="s">
        <v>20</v>
      </c>
      <c r="C229" t="s">
        <v>13</v>
      </c>
      <c r="D229" t="s">
        <v>19</v>
      </c>
      <c r="E229" s="10">
        <v>0.35</v>
      </c>
      <c r="F229" t="s">
        <v>14</v>
      </c>
      <c r="G229" s="14">
        <v>0.266</v>
      </c>
      <c r="H229" t="s">
        <v>22</v>
      </c>
      <c r="I229" s="14">
        <v>0.196</v>
      </c>
      <c r="J229">
        <f t="shared" si="10"/>
        <v>0</v>
      </c>
      <c r="K229">
        <f t="shared" si="11"/>
        <v>0</v>
      </c>
    </row>
    <row r="230" spans="1:11">
      <c r="A230" t="s">
        <v>81</v>
      </c>
      <c r="B230" t="s">
        <v>20</v>
      </c>
      <c r="C230" t="s">
        <v>16</v>
      </c>
      <c r="D230" t="s">
        <v>15</v>
      </c>
      <c r="E230" s="14">
        <v>0.574</v>
      </c>
      <c r="F230" t="s">
        <v>22</v>
      </c>
      <c r="G230" s="14">
        <v>0.187</v>
      </c>
      <c r="H230" t="s">
        <v>20</v>
      </c>
      <c r="I230" s="10">
        <v>0.09</v>
      </c>
      <c r="J230">
        <f t="shared" si="10"/>
        <v>0</v>
      </c>
      <c r="K230">
        <f t="shared" si="11"/>
        <v>1</v>
      </c>
    </row>
    <row r="231" spans="1:11">
      <c r="A231" t="s">
        <v>81</v>
      </c>
      <c r="B231" t="s">
        <v>20</v>
      </c>
      <c r="C231" t="s">
        <v>18</v>
      </c>
      <c r="D231" t="s">
        <v>20</v>
      </c>
      <c r="E231" s="14">
        <v>0.559</v>
      </c>
      <c r="F231" t="s">
        <v>12</v>
      </c>
      <c r="G231" s="14">
        <v>0.127</v>
      </c>
      <c r="H231" t="s">
        <v>17</v>
      </c>
      <c r="I231" s="10">
        <v>0.108</v>
      </c>
      <c r="J231">
        <v>1</v>
      </c>
      <c r="K231">
        <v>1</v>
      </c>
    </row>
    <row r="232" spans="1:11">
      <c r="A232" t="s">
        <v>82</v>
      </c>
      <c r="B232" t="s">
        <v>20</v>
      </c>
      <c r="C232" t="s">
        <v>13</v>
      </c>
      <c r="D232" t="s">
        <v>14</v>
      </c>
      <c r="E232" s="14">
        <v>0.719</v>
      </c>
      <c r="F232" t="s">
        <v>12</v>
      </c>
      <c r="G232" s="14">
        <v>0.187</v>
      </c>
      <c r="H232" t="s">
        <v>15</v>
      </c>
      <c r="I232" s="10">
        <v>0.04</v>
      </c>
      <c r="J232">
        <f>IF(A232="","",--(B232=D232))</f>
        <v>0</v>
      </c>
      <c r="K232">
        <f>IF(A232="","",--OR(B232=D232,B232=F232,B232=H232))</f>
        <v>0</v>
      </c>
    </row>
    <row r="233" spans="1:11">
      <c r="A233" t="s">
        <v>82</v>
      </c>
      <c r="B233" t="s">
        <v>20</v>
      </c>
      <c r="C233" t="s">
        <v>16</v>
      </c>
      <c r="D233" t="s">
        <v>15</v>
      </c>
      <c r="E233" s="14">
        <v>0.483</v>
      </c>
      <c r="F233" t="s">
        <v>17</v>
      </c>
      <c r="G233" s="14">
        <v>0.322</v>
      </c>
      <c r="H233" t="s">
        <v>12</v>
      </c>
      <c r="I233" s="14">
        <v>0.089</v>
      </c>
      <c r="J233">
        <f>IF(A233="","",--(B233=D233))</f>
        <v>0</v>
      </c>
      <c r="K233">
        <f>IF(A233="","",--OR(B233=D233,B233=F233,B233=H233))</f>
        <v>0</v>
      </c>
    </row>
    <row r="234" spans="1:11">
      <c r="A234" t="s">
        <v>82</v>
      </c>
      <c r="B234" t="s">
        <v>20</v>
      </c>
      <c r="C234" t="s">
        <v>18</v>
      </c>
      <c r="D234" t="s">
        <v>19</v>
      </c>
      <c r="E234" s="14">
        <v>0.501</v>
      </c>
      <c r="F234" t="s">
        <v>14</v>
      </c>
      <c r="G234" s="14">
        <v>0.17</v>
      </c>
      <c r="H234" t="s">
        <v>20</v>
      </c>
      <c r="I234" s="14">
        <v>0.127</v>
      </c>
      <c r="J234">
        <v>0</v>
      </c>
      <c r="K234">
        <v>1</v>
      </c>
    </row>
    <row r="235" spans="1:11">
      <c r="A235" t="s">
        <v>83</v>
      </c>
      <c r="B235" t="s">
        <v>20</v>
      </c>
      <c r="C235" t="s">
        <v>13</v>
      </c>
      <c r="D235" t="s">
        <v>22</v>
      </c>
      <c r="E235" s="14">
        <v>0.355</v>
      </c>
      <c r="F235" t="s">
        <v>12</v>
      </c>
      <c r="G235" s="14">
        <v>0.187</v>
      </c>
      <c r="H235" t="s">
        <v>15</v>
      </c>
      <c r="I235" s="14">
        <v>0.076</v>
      </c>
      <c r="J235">
        <f>IF(A235="","",--(B235=D235))</f>
        <v>0</v>
      </c>
      <c r="K235">
        <f>IF(A235="","",--OR(B235=D235,B235=F235,B235=H235))</f>
        <v>0</v>
      </c>
    </row>
    <row r="236" spans="1:11">
      <c r="A236" t="s">
        <v>83</v>
      </c>
      <c r="B236" t="s">
        <v>20</v>
      </c>
      <c r="C236" t="s">
        <v>16</v>
      </c>
      <c r="D236" t="s">
        <v>22</v>
      </c>
      <c r="E236" s="10">
        <v>0.47</v>
      </c>
      <c r="F236" t="s">
        <v>14</v>
      </c>
      <c r="G236" s="14">
        <v>0.282</v>
      </c>
      <c r="H236" t="s">
        <v>19</v>
      </c>
      <c r="I236" s="14">
        <v>0.112</v>
      </c>
      <c r="J236">
        <f>IF(A236="","",--(B236=D236))</f>
        <v>0</v>
      </c>
      <c r="K236">
        <f>IF(A236="","",--OR(B236=D236,B236=F236,B236=H236))</f>
        <v>0</v>
      </c>
    </row>
    <row r="237" spans="1:11">
      <c r="A237" t="s">
        <v>83</v>
      </c>
      <c r="B237" t="s">
        <v>20</v>
      </c>
      <c r="C237" t="s">
        <v>18</v>
      </c>
      <c r="D237" t="s">
        <v>19</v>
      </c>
      <c r="E237" s="14">
        <v>0.39</v>
      </c>
      <c r="F237" t="s">
        <v>20</v>
      </c>
      <c r="G237" s="14">
        <v>0.117</v>
      </c>
      <c r="H237" t="s">
        <v>22</v>
      </c>
      <c r="I237" s="14">
        <v>0.088</v>
      </c>
      <c r="J237">
        <v>0</v>
      </c>
      <c r="K237">
        <v>1</v>
      </c>
    </row>
    <row r="238" spans="1:11">
      <c r="A238" t="s">
        <v>84</v>
      </c>
      <c r="B238" t="s">
        <v>20</v>
      </c>
      <c r="C238" t="s">
        <v>13</v>
      </c>
      <c r="D238" t="s">
        <v>12</v>
      </c>
      <c r="E238" s="14">
        <v>0.422</v>
      </c>
      <c r="F238" t="s">
        <v>22</v>
      </c>
      <c r="G238" s="14">
        <v>0.295</v>
      </c>
      <c r="H238" t="s">
        <v>20</v>
      </c>
      <c r="I238" s="14">
        <v>0.082</v>
      </c>
      <c r="J238">
        <f>IF(A238="","",--(B238=D238))</f>
        <v>0</v>
      </c>
      <c r="K238">
        <f>IF(A238="","",--OR(B238=D238,B238=F238,B238=H238))</f>
        <v>1</v>
      </c>
    </row>
    <row r="239" spans="1:11">
      <c r="A239" t="s">
        <v>84</v>
      </c>
      <c r="B239" t="s">
        <v>20</v>
      </c>
      <c r="C239" t="s">
        <v>16</v>
      </c>
      <c r="D239" t="s">
        <v>14</v>
      </c>
      <c r="E239" s="14">
        <v>0.349</v>
      </c>
      <c r="F239" t="s">
        <v>20</v>
      </c>
      <c r="G239" s="14">
        <v>0.336</v>
      </c>
      <c r="H239" t="s">
        <v>15</v>
      </c>
      <c r="I239" s="10">
        <v>0.1</v>
      </c>
      <c r="J239">
        <f>IF(A239="","",--(B239=D239))</f>
        <v>0</v>
      </c>
      <c r="K239">
        <f>IF(A239="","",--OR(B239=D239,B239=F239,B239=H239))</f>
        <v>1</v>
      </c>
    </row>
    <row r="240" spans="1:11">
      <c r="A240" t="s">
        <v>84</v>
      </c>
      <c r="B240" t="s">
        <v>20</v>
      </c>
      <c r="C240" t="s">
        <v>18</v>
      </c>
      <c r="D240" t="s">
        <v>20</v>
      </c>
      <c r="E240" s="14">
        <v>0.458</v>
      </c>
      <c r="F240" t="s">
        <v>12</v>
      </c>
      <c r="G240" s="14">
        <v>0.164</v>
      </c>
      <c r="H240" t="s">
        <v>15</v>
      </c>
      <c r="I240" s="14">
        <v>0.108</v>
      </c>
      <c r="J240">
        <v>1</v>
      </c>
      <c r="K240">
        <v>1</v>
      </c>
    </row>
    <row r="241" spans="1:11">
      <c r="A241" t="s">
        <v>85</v>
      </c>
      <c r="B241" t="s">
        <v>20</v>
      </c>
      <c r="C241" t="s">
        <v>13</v>
      </c>
      <c r="D241" t="s">
        <v>14</v>
      </c>
      <c r="E241" s="14">
        <v>0.327</v>
      </c>
      <c r="F241" t="s">
        <v>22</v>
      </c>
      <c r="G241" s="14">
        <v>0.276</v>
      </c>
      <c r="H241" t="s">
        <v>19</v>
      </c>
      <c r="I241" s="14">
        <v>0.212</v>
      </c>
      <c r="J241">
        <f>IF(A241="","",--(B241=D241))</f>
        <v>0</v>
      </c>
      <c r="K241">
        <f>IF(A241="","",--OR(B241=D241,B241=F241,B241=H241))</f>
        <v>0</v>
      </c>
    </row>
    <row r="242" spans="1:11">
      <c r="A242" t="s">
        <v>85</v>
      </c>
      <c r="B242" t="s">
        <v>20</v>
      </c>
      <c r="C242" t="s">
        <v>16</v>
      </c>
      <c r="D242" t="s">
        <v>15</v>
      </c>
      <c r="E242" s="14">
        <v>0.514</v>
      </c>
      <c r="F242" t="s">
        <v>22</v>
      </c>
      <c r="G242" s="14">
        <v>0.336</v>
      </c>
      <c r="H242" t="s">
        <v>19</v>
      </c>
      <c r="I242" s="14">
        <v>0.082</v>
      </c>
      <c r="J242">
        <f>IF(A242="","",--(B242=D242))</f>
        <v>0</v>
      </c>
      <c r="K242">
        <f>IF(A242="","",--OR(B242=D242,B242=F242,B242=H242))</f>
        <v>0</v>
      </c>
    </row>
    <row r="243" spans="1:11">
      <c r="A243" t="s">
        <v>85</v>
      </c>
      <c r="B243" t="s">
        <v>20</v>
      </c>
      <c r="C243" t="s">
        <v>18</v>
      </c>
      <c r="D243" t="s">
        <v>22</v>
      </c>
      <c r="E243" s="14">
        <v>0.487</v>
      </c>
      <c r="F243" t="s">
        <v>19</v>
      </c>
      <c r="G243" s="14">
        <v>0.237</v>
      </c>
      <c r="H243" t="s">
        <v>15</v>
      </c>
      <c r="I243" s="14">
        <v>0.13</v>
      </c>
      <c r="J243">
        <v>0</v>
      </c>
      <c r="K243">
        <v>0</v>
      </c>
    </row>
    <row r="244" spans="1:11">
      <c r="A244" t="s">
        <v>86</v>
      </c>
      <c r="B244" t="s">
        <v>20</v>
      </c>
      <c r="C244" t="s">
        <v>13</v>
      </c>
      <c r="D244" t="s">
        <v>19</v>
      </c>
      <c r="E244" s="14">
        <v>0.439</v>
      </c>
      <c r="F244" t="s">
        <v>22</v>
      </c>
      <c r="G244" s="14">
        <v>0.221</v>
      </c>
      <c r="H244" t="s">
        <v>12</v>
      </c>
      <c r="I244" s="14">
        <v>0.147</v>
      </c>
      <c r="J244">
        <f>IF(A244="","",--(B244=D244))</f>
        <v>0</v>
      </c>
      <c r="K244">
        <f>IF(A244="","",--OR(B244=D244,B244=F244,B244=H244))</f>
        <v>0</v>
      </c>
    </row>
    <row r="245" spans="1:11">
      <c r="A245" t="s">
        <v>86</v>
      </c>
      <c r="B245" t="s">
        <v>20</v>
      </c>
      <c r="C245" t="s">
        <v>16</v>
      </c>
      <c r="D245" t="s">
        <v>12</v>
      </c>
      <c r="E245" s="14">
        <v>0.676</v>
      </c>
      <c r="F245" t="s">
        <v>19</v>
      </c>
      <c r="G245" s="14">
        <v>0.121</v>
      </c>
      <c r="H245" t="s">
        <v>15</v>
      </c>
      <c r="I245" s="14">
        <v>0.045</v>
      </c>
      <c r="J245">
        <f>IF(A245="","",--(B245=D245))</f>
        <v>0</v>
      </c>
      <c r="K245">
        <f>IF(A245="","",--OR(B245=D245,B245=F245,B245=H245))</f>
        <v>0</v>
      </c>
    </row>
    <row r="246" spans="1:11">
      <c r="A246" t="s">
        <v>86</v>
      </c>
      <c r="B246" t="s">
        <v>20</v>
      </c>
      <c r="C246" t="s">
        <v>18</v>
      </c>
      <c r="D246" t="s">
        <v>12</v>
      </c>
      <c r="E246" s="14">
        <v>0.549</v>
      </c>
      <c r="F246" t="s">
        <v>17</v>
      </c>
      <c r="G246" s="14">
        <v>0.118</v>
      </c>
      <c r="H246" t="s">
        <v>19</v>
      </c>
      <c r="I246" s="14">
        <v>0.111</v>
      </c>
      <c r="J246">
        <v>0</v>
      </c>
      <c r="K246">
        <v>0</v>
      </c>
    </row>
    <row r="247" spans="1:11">
      <c r="A247" t="s">
        <v>87</v>
      </c>
      <c r="B247" t="s">
        <v>20</v>
      </c>
      <c r="C247" t="s">
        <v>13</v>
      </c>
      <c r="D247" t="s">
        <v>15</v>
      </c>
      <c r="E247" s="14">
        <v>0.435</v>
      </c>
      <c r="F247" t="s">
        <v>22</v>
      </c>
      <c r="G247" s="14">
        <v>0.214</v>
      </c>
      <c r="H247" t="s">
        <v>19</v>
      </c>
      <c r="I247" s="14">
        <v>0.076</v>
      </c>
      <c r="J247">
        <f>IF(A247="","",--(B247=D247))</f>
        <v>0</v>
      </c>
      <c r="K247">
        <f>IF(A247="","",--OR(B247=D247,B247=F247,B247=H247))</f>
        <v>0</v>
      </c>
    </row>
    <row r="248" ht="14" customHeight="1" spans="1:11">
      <c r="A248" t="s">
        <v>87</v>
      </c>
      <c r="B248" t="s">
        <v>20</v>
      </c>
      <c r="C248" t="s">
        <v>16</v>
      </c>
      <c r="D248" t="s">
        <v>19</v>
      </c>
      <c r="E248" s="14">
        <v>0.774</v>
      </c>
      <c r="F248" t="s">
        <v>22</v>
      </c>
      <c r="G248" s="14">
        <v>0.125</v>
      </c>
      <c r="H248" t="s">
        <v>14</v>
      </c>
      <c r="I248" s="14">
        <v>0.034</v>
      </c>
      <c r="J248">
        <f>IF(A248="","",--(B248=D248))</f>
        <v>0</v>
      </c>
      <c r="K248">
        <f>IF(A248="","",--OR(B248=D248,B248=F248,B248=H248))</f>
        <v>0</v>
      </c>
    </row>
    <row r="249" spans="1:11">
      <c r="A249" t="s">
        <v>87</v>
      </c>
      <c r="B249" t="s">
        <v>20</v>
      </c>
      <c r="C249" t="s">
        <v>18</v>
      </c>
      <c r="D249" t="s">
        <v>15</v>
      </c>
      <c r="E249" s="14">
        <v>0.571</v>
      </c>
      <c r="F249" t="s">
        <v>19</v>
      </c>
      <c r="G249" s="14">
        <v>0.119</v>
      </c>
      <c r="H249" t="s">
        <v>22</v>
      </c>
      <c r="I249" s="14">
        <v>0.089</v>
      </c>
      <c r="J249">
        <v>0</v>
      </c>
      <c r="K249">
        <v>0</v>
      </c>
    </row>
    <row r="250" spans="1:11">
      <c r="A250" t="s">
        <v>88</v>
      </c>
      <c r="B250" t="s">
        <v>20</v>
      </c>
      <c r="C250" t="s">
        <v>13</v>
      </c>
      <c r="D250" t="s">
        <v>14</v>
      </c>
      <c r="E250" s="14">
        <v>0.664</v>
      </c>
      <c r="F250" t="s">
        <v>12</v>
      </c>
      <c r="G250" s="14">
        <v>0.162</v>
      </c>
      <c r="H250" t="s">
        <v>19</v>
      </c>
      <c r="I250" s="14">
        <v>0.047</v>
      </c>
      <c r="J250">
        <f>IF(A250="","",--(B250=D250))</f>
        <v>0</v>
      </c>
      <c r="K250">
        <f>IF(A250="","",--OR(B250=D250,B250=F250,B250=H250))</f>
        <v>0</v>
      </c>
    </row>
    <row r="251" spans="1:11">
      <c r="A251" t="s">
        <v>88</v>
      </c>
      <c r="B251" t="s">
        <v>20</v>
      </c>
      <c r="C251" t="s">
        <v>16</v>
      </c>
      <c r="D251" t="s">
        <v>19</v>
      </c>
      <c r="E251" s="14">
        <v>0.499</v>
      </c>
      <c r="F251" t="s">
        <v>22</v>
      </c>
      <c r="G251" s="14">
        <v>0.253</v>
      </c>
      <c r="H251" t="s">
        <v>15</v>
      </c>
      <c r="I251" s="14">
        <v>0.171</v>
      </c>
      <c r="J251">
        <f>IF(A251="","",--(B251=D251))</f>
        <v>0</v>
      </c>
      <c r="K251">
        <f>IF(A251="","",--OR(B251=D251,B251=F251,B251=H251))</f>
        <v>0</v>
      </c>
    </row>
    <row r="252" spans="1:11">
      <c r="A252" t="s">
        <v>88</v>
      </c>
      <c r="B252" t="s">
        <v>20</v>
      </c>
      <c r="C252" t="s">
        <v>18</v>
      </c>
      <c r="D252" t="s">
        <v>15</v>
      </c>
      <c r="E252" s="14">
        <v>0.442</v>
      </c>
      <c r="F252" t="s">
        <v>19</v>
      </c>
      <c r="G252" s="14">
        <v>0.238</v>
      </c>
      <c r="H252" t="s">
        <v>22</v>
      </c>
      <c r="I252" s="14">
        <v>0.141</v>
      </c>
      <c r="J252">
        <v>0</v>
      </c>
      <c r="K252">
        <v>0</v>
      </c>
    </row>
    <row r="253" spans="1:11">
      <c r="A253" t="s">
        <v>89</v>
      </c>
      <c r="B253" t="s">
        <v>20</v>
      </c>
      <c r="C253" t="s">
        <v>13</v>
      </c>
      <c r="D253" t="s">
        <v>15</v>
      </c>
      <c r="E253" s="14">
        <v>0.286</v>
      </c>
      <c r="F253" t="s">
        <v>22</v>
      </c>
      <c r="G253" s="14">
        <v>0.25</v>
      </c>
      <c r="H253" t="s">
        <v>20</v>
      </c>
      <c r="I253" s="14">
        <v>0.197</v>
      </c>
      <c r="J253">
        <f>IF(A253="","",--(B253=D253))</f>
        <v>0</v>
      </c>
      <c r="K253">
        <f>IF(A253="","",--OR(B253=D253,B253=F253,B253=H253))</f>
        <v>1</v>
      </c>
    </row>
    <row r="254" spans="1:11">
      <c r="A254" t="s">
        <v>89</v>
      </c>
      <c r="B254" t="s">
        <v>20</v>
      </c>
      <c r="C254" t="s">
        <v>16</v>
      </c>
      <c r="D254" t="s">
        <v>15</v>
      </c>
      <c r="E254" s="14">
        <v>0.415</v>
      </c>
      <c r="F254" t="s">
        <v>22</v>
      </c>
      <c r="G254" s="14">
        <v>0.266</v>
      </c>
      <c r="H254" t="s">
        <v>19</v>
      </c>
      <c r="I254" s="14">
        <v>0.136</v>
      </c>
      <c r="J254">
        <f>IF(A254="","",--(B254=D254))</f>
        <v>0</v>
      </c>
      <c r="K254">
        <f>IF(A254="","",--OR(B254=D254,B254=F254,B254=H254))</f>
        <v>0</v>
      </c>
    </row>
    <row r="255" spans="1:11">
      <c r="A255" t="s">
        <v>89</v>
      </c>
      <c r="B255" t="s">
        <v>20</v>
      </c>
      <c r="C255" t="s">
        <v>18</v>
      </c>
      <c r="D255" t="s">
        <v>15</v>
      </c>
      <c r="E255" s="14">
        <v>0.653</v>
      </c>
      <c r="F255" t="s">
        <v>22</v>
      </c>
      <c r="G255" s="14">
        <v>0.216</v>
      </c>
      <c r="H255" t="s">
        <v>20</v>
      </c>
      <c r="I255" s="14">
        <v>0.086</v>
      </c>
      <c r="J255">
        <v>0</v>
      </c>
      <c r="K255">
        <v>1</v>
      </c>
    </row>
    <row r="256" spans="1:11">
      <c r="A256" t="s">
        <v>90</v>
      </c>
      <c r="B256" t="s">
        <v>20</v>
      </c>
      <c r="C256" t="s">
        <v>13</v>
      </c>
      <c r="D256" t="s">
        <v>12</v>
      </c>
      <c r="E256" s="14">
        <v>0.517</v>
      </c>
      <c r="F256" t="s">
        <v>15</v>
      </c>
      <c r="G256" s="14">
        <v>0.216</v>
      </c>
      <c r="H256" t="s">
        <v>22</v>
      </c>
      <c r="I256" s="14">
        <v>0.101</v>
      </c>
      <c r="J256">
        <f>IF(A256="","",--(B256=D256))</f>
        <v>0</v>
      </c>
      <c r="K256">
        <f>IF(A256="","",--OR(B256=D256,B256=F256,B256=H256))</f>
        <v>0</v>
      </c>
    </row>
    <row r="257" spans="1:11">
      <c r="A257" t="s">
        <v>90</v>
      </c>
      <c r="B257" t="s">
        <v>20</v>
      </c>
      <c r="C257" t="s">
        <v>16</v>
      </c>
      <c r="D257" t="s">
        <v>22</v>
      </c>
      <c r="E257" s="14">
        <v>0.373</v>
      </c>
      <c r="F257" t="s">
        <v>15</v>
      </c>
      <c r="G257" s="14">
        <v>0.361</v>
      </c>
      <c r="H257" t="s">
        <v>19</v>
      </c>
      <c r="I257" s="10">
        <v>0.09</v>
      </c>
      <c r="J257">
        <f>IF(A257="","",--(B257=D257))</f>
        <v>0</v>
      </c>
      <c r="K257">
        <f>IF(A257="","",--OR(B257=D257,B257=F257,B257=H257))</f>
        <v>0</v>
      </c>
    </row>
    <row r="258" spans="1:11">
      <c r="A258" t="s">
        <v>90</v>
      </c>
      <c r="B258" t="s">
        <v>20</v>
      </c>
      <c r="C258" t="s">
        <v>18</v>
      </c>
      <c r="D258" t="s">
        <v>22</v>
      </c>
      <c r="E258" s="14">
        <v>0.473</v>
      </c>
      <c r="F258" t="s">
        <v>15</v>
      </c>
      <c r="G258" s="14">
        <v>0.161</v>
      </c>
      <c r="H258" t="s">
        <v>20</v>
      </c>
      <c r="I258" s="14">
        <v>0.103</v>
      </c>
      <c r="J258">
        <v>0</v>
      </c>
      <c r="K258">
        <v>1</v>
      </c>
    </row>
  </sheetData>
  <conditionalFormatting sqref="C7">
    <cfRule type="containsText" dxfId="0" priority="111" operator="between" text="uncropped">
      <formula>NOT(ISERROR(SEARCH("uncropped",C7)))</formula>
    </cfRule>
  </conditionalFormatting>
  <conditionalFormatting sqref="C10">
    <cfRule type="containsText" dxfId="0" priority="110" operator="between" text="uncropped">
      <formula>NOT(ISERROR(SEARCH("uncropped",C10)))</formula>
    </cfRule>
  </conditionalFormatting>
  <conditionalFormatting sqref="C13">
    <cfRule type="containsText" dxfId="0" priority="109" operator="between" text="uncropped">
      <formula>NOT(ISERROR(SEARCH("uncropped",C13)))</formula>
    </cfRule>
  </conditionalFormatting>
  <conditionalFormatting sqref="C16">
    <cfRule type="containsText" dxfId="0" priority="108" operator="between" text="uncropped">
      <formula>NOT(ISERROR(SEARCH("uncropped",C16)))</formula>
    </cfRule>
  </conditionalFormatting>
  <conditionalFormatting sqref="C19">
    <cfRule type="containsText" dxfId="0" priority="107" operator="between" text="uncropped">
      <formula>NOT(ISERROR(SEARCH("uncropped",C19)))</formula>
    </cfRule>
  </conditionalFormatting>
  <conditionalFormatting sqref="C22">
    <cfRule type="containsText" dxfId="0" priority="106" operator="between" text="uncropped">
      <formula>NOT(ISERROR(SEARCH("uncropped",C22)))</formula>
    </cfRule>
  </conditionalFormatting>
  <conditionalFormatting sqref="C25">
    <cfRule type="containsText" dxfId="0" priority="105" operator="between" text="uncropped">
      <formula>NOT(ISERROR(SEARCH("uncropped",C25)))</formula>
    </cfRule>
  </conditionalFormatting>
  <conditionalFormatting sqref="C28">
    <cfRule type="containsText" dxfId="0" priority="104" operator="between" text="uncropped">
      <formula>NOT(ISERROR(SEARCH("uncropped",C28)))</formula>
    </cfRule>
  </conditionalFormatting>
  <conditionalFormatting sqref="C31">
    <cfRule type="containsText" dxfId="0" priority="103" operator="between" text="uncropped">
      <formula>NOT(ISERROR(SEARCH("uncropped",C31)))</formula>
    </cfRule>
  </conditionalFormatting>
  <conditionalFormatting sqref="C34">
    <cfRule type="containsText" dxfId="0" priority="102" operator="between" text="uncropped">
      <formula>NOT(ISERROR(SEARCH("uncropped",C34)))</formula>
    </cfRule>
  </conditionalFormatting>
  <conditionalFormatting sqref="C45">
    <cfRule type="containsText" dxfId="0" priority="101" operator="between" text="uncropped">
      <formula>NOT(ISERROR(SEARCH("uncropped",C45)))</formula>
    </cfRule>
  </conditionalFormatting>
  <conditionalFormatting sqref="C48">
    <cfRule type="containsText" dxfId="0" priority="100" operator="between" text="uncropped">
      <formula>NOT(ISERROR(SEARCH("uncropped",C48)))</formula>
    </cfRule>
  </conditionalFormatting>
  <conditionalFormatting sqref="C51">
    <cfRule type="containsText" dxfId="0" priority="99" operator="between" text="uncropped">
      <formula>NOT(ISERROR(SEARCH("uncropped",C51)))</formula>
    </cfRule>
  </conditionalFormatting>
  <conditionalFormatting sqref="C54">
    <cfRule type="containsText" dxfId="0" priority="98" operator="between" text="uncropped">
      <formula>NOT(ISERROR(SEARCH("uncropped",C54)))</formula>
    </cfRule>
  </conditionalFormatting>
  <conditionalFormatting sqref="C57">
    <cfRule type="containsText" dxfId="0" priority="97" operator="between" text="uncropped">
      <formula>NOT(ISERROR(SEARCH("uncropped",C57)))</formula>
    </cfRule>
  </conditionalFormatting>
  <conditionalFormatting sqref="C60">
    <cfRule type="containsText" dxfId="0" priority="96" operator="between" text="uncropped">
      <formula>NOT(ISERROR(SEARCH("uncropped",C60)))</formula>
    </cfRule>
  </conditionalFormatting>
  <conditionalFormatting sqref="C63">
    <cfRule type="containsText" dxfId="0" priority="95" operator="between" text="uncropped">
      <formula>NOT(ISERROR(SEARCH("uncropped",C63)))</formula>
    </cfRule>
  </conditionalFormatting>
  <conditionalFormatting sqref="C66">
    <cfRule type="containsText" dxfId="0" priority="94" operator="between" text="uncropped">
      <formula>NOT(ISERROR(SEARCH("uncropped",C66)))</formula>
    </cfRule>
  </conditionalFormatting>
  <conditionalFormatting sqref="C69">
    <cfRule type="containsText" dxfId="0" priority="93" operator="between" text="uncropped">
      <formula>NOT(ISERROR(SEARCH("uncropped",C69)))</formula>
    </cfRule>
  </conditionalFormatting>
  <conditionalFormatting sqref="C72">
    <cfRule type="containsText" dxfId="0" priority="92" operator="between" text="uncropped">
      <formula>NOT(ISERROR(SEARCH("uncropped",C72)))</formula>
    </cfRule>
  </conditionalFormatting>
  <conditionalFormatting sqref="C83">
    <cfRule type="containsText" dxfId="0" priority="91" operator="between" text="uncropped">
      <formula>NOT(ISERROR(SEARCH("uncropped",C83)))</formula>
    </cfRule>
  </conditionalFormatting>
  <conditionalFormatting sqref="C86">
    <cfRule type="containsText" dxfId="0" priority="90" operator="between" text="uncropped">
      <formula>NOT(ISERROR(SEARCH("uncropped",C86)))</formula>
    </cfRule>
  </conditionalFormatting>
  <conditionalFormatting sqref="C89">
    <cfRule type="containsText" dxfId="0" priority="89" operator="between" text="uncropped">
      <formula>NOT(ISERROR(SEARCH("uncropped",C89)))</formula>
    </cfRule>
  </conditionalFormatting>
  <conditionalFormatting sqref="C92">
    <cfRule type="containsText" dxfId="0" priority="88" operator="between" text="uncropped">
      <formula>NOT(ISERROR(SEARCH("uncropped",C92)))</formula>
    </cfRule>
  </conditionalFormatting>
  <conditionalFormatting sqref="C95">
    <cfRule type="containsText" dxfId="0" priority="87" operator="between" text="uncropped">
      <formula>NOT(ISERROR(SEARCH("uncropped",C95)))</formula>
    </cfRule>
  </conditionalFormatting>
  <conditionalFormatting sqref="C98">
    <cfRule type="containsText" dxfId="0" priority="86" operator="between" text="uncropped">
      <formula>NOT(ISERROR(SEARCH("uncropped",C98)))</formula>
    </cfRule>
  </conditionalFormatting>
  <conditionalFormatting sqref="C101">
    <cfRule type="containsText" dxfId="0" priority="85" operator="between" text="uncropped">
      <formula>NOT(ISERROR(SEARCH("uncropped",C101)))</formula>
    </cfRule>
  </conditionalFormatting>
  <conditionalFormatting sqref="C104">
    <cfRule type="containsText" dxfId="0" priority="84" operator="between" text="uncropped">
      <formula>NOT(ISERROR(SEARCH("uncropped",C104)))</formula>
    </cfRule>
  </conditionalFormatting>
  <conditionalFormatting sqref="C107">
    <cfRule type="containsText" dxfId="0" priority="83" operator="between" text="uncropped">
      <formula>NOT(ISERROR(SEARCH("uncropped",C107)))</formula>
    </cfRule>
  </conditionalFormatting>
  <conditionalFormatting sqref="C110">
    <cfRule type="containsText" dxfId="0" priority="82" operator="between" text="uncropped">
      <formula>NOT(ISERROR(SEARCH("uncropped",C110)))</formula>
    </cfRule>
  </conditionalFormatting>
  <conditionalFormatting sqref="C118">
    <cfRule type="containsText" dxfId="0" priority="80" operator="between" text="uncropped">
      <formula>NOT(ISERROR(SEARCH("uncropped",C118)))</formula>
    </cfRule>
    <cfRule type="cellIs" dxfId="1" priority="79" operator="equal">
      <formula>"auto cropped"</formula>
    </cfRule>
  </conditionalFormatting>
  <conditionalFormatting sqref="C121">
    <cfRule type="containsText" dxfId="0" priority="78" operator="between" text="uncropped">
      <formula>NOT(ISERROR(SEARCH("uncropped",C121)))</formula>
    </cfRule>
    <cfRule type="cellIs" dxfId="1" priority="77" operator="equal">
      <formula>"auto cropped"</formula>
    </cfRule>
  </conditionalFormatting>
  <conditionalFormatting sqref="C124">
    <cfRule type="containsText" dxfId="0" priority="76" operator="between" text="uncropped">
      <formula>NOT(ISERROR(SEARCH("uncropped",C124)))</formula>
    </cfRule>
    <cfRule type="cellIs" dxfId="1" priority="75" operator="equal">
      <formula>"auto cropped"</formula>
    </cfRule>
  </conditionalFormatting>
  <conditionalFormatting sqref="C127">
    <cfRule type="containsText" dxfId="0" priority="74" operator="between" text="uncropped">
      <formula>NOT(ISERROR(SEARCH("uncropped",C127)))</formula>
    </cfRule>
    <cfRule type="cellIs" dxfId="1" priority="73" operator="equal">
      <formula>"auto cropped"</formula>
    </cfRule>
  </conditionalFormatting>
  <conditionalFormatting sqref="C130">
    <cfRule type="containsText" dxfId="0" priority="72" operator="between" text="uncropped">
      <formula>NOT(ISERROR(SEARCH("uncropped",C130)))</formula>
    </cfRule>
    <cfRule type="cellIs" dxfId="1" priority="71" operator="equal">
      <formula>"auto cropped"</formula>
    </cfRule>
  </conditionalFormatting>
  <conditionalFormatting sqref="C133">
    <cfRule type="containsText" dxfId="0" priority="70" operator="between" text="uncropped">
      <formula>NOT(ISERROR(SEARCH("uncropped",C133)))</formula>
    </cfRule>
    <cfRule type="cellIs" dxfId="1" priority="69" operator="equal">
      <formula>"auto cropped"</formula>
    </cfRule>
  </conditionalFormatting>
  <conditionalFormatting sqref="C136">
    <cfRule type="containsText" dxfId="0" priority="68" operator="between" text="uncropped">
      <formula>NOT(ISERROR(SEARCH("uncropped",C136)))</formula>
    </cfRule>
    <cfRule type="cellIs" dxfId="1" priority="67" operator="equal">
      <formula>"auto cropped"</formula>
    </cfRule>
  </conditionalFormatting>
  <conditionalFormatting sqref="C139">
    <cfRule type="containsText" dxfId="0" priority="66" operator="between" text="uncropped">
      <formula>NOT(ISERROR(SEARCH("uncropped",C139)))</formula>
    </cfRule>
    <cfRule type="cellIs" dxfId="1" priority="65" operator="equal">
      <formula>"auto cropped"</formula>
    </cfRule>
  </conditionalFormatting>
  <conditionalFormatting sqref="C142">
    <cfRule type="containsText" dxfId="0" priority="64" operator="between" text="uncropped">
      <formula>NOT(ISERROR(SEARCH("uncropped",C142)))</formula>
    </cfRule>
    <cfRule type="cellIs" dxfId="1" priority="63" operator="equal">
      <formula>"auto cropped"</formula>
    </cfRule>
  </conditionalFormatting>
  <conditionalFormatting sqref="C145">
    <cfRule type="containsText" dxfId="0" priority="62" operator="between" text="uncropped">
      <formula>NOT(ISERROR(SEARCH("uncropped",C145)))</formula>
    </cfRule>
    <cfRule type="cellIs" dxfId="1" priority="61" operator="equal">
      <formula>"auto cropped"</formula>
    </cfRule>
  </conditionalFormatting>
  <conditionalFormatting sqref="C156">
    <cfRule type="containsText" dxfId="0" priority="60" operator="between" text="uncropped">
      <formula>NOT(ISERROR(SEARCH("uncropped",C156)))</formula>
    </cfRule>
    <cfRule type="cellIs" dxfId="1" priority="59" operator="equal">
      <formula>"auto cropped"</formula>
    </cfRule>
  </conditionalFormatting>
  <conditionalFormatting sqref="C159">
    <cfRule type="containsText" dxfId="0" priority="58" operator="between" text="uncropped">
      <formula>NOT(ISERROR(SEARCH("uncropped",C159)))</formula>
    </cfRule>
    <cfRule type="cellIs" dxfId="1" priority="57" operator="equal">
      <formula>"auto cropped"</formula>
    </cfRule>
  </conditionalFormatting>
  <conditionalFormatting sqref="C162">
    <cfRule type="containsText" dxfId="0" priority="56" operator="between" text="uncropped">
      <formula>NOT(ISERROR(SEARCH("uncropped",C162)))</formula>
    </cfRule>
    <cfRule type="cellIs" dxfId="1" priority="55" operator="equal">
      <formula>"auto cropped"</formula>
    </cfRule>
  </conditionalFormatting>
  <conditionalFormatting sqref="C165">
    <cfRule type="containsText" dxfId="0" priority="54" operator="between" text="uncropped">
      <formula>NOT(ISERROR(SEARCH("uncropped",C165)))</formula>
    </cfRule>
    <cfRule type="cellIs" dxfId="1" priority="53" operator="equal">
      <formula>"auto cropped"</formula>
    </cfRule>
  </conditionalFormatting>
  <conditionalFormatting sqref="C168">
    <cfRule type="containsText" dxfId="0" priority="52" operator="between" text="uncropped">
      <formula>NOT(ISERROR(SEARCH("uncropped",C168)))</formula>
    </cfRule>
    <cfRule type="cellIs" dxfId="1" priority="51" operator="equal">
      <formula>"auto cropped"</formula>
    </cfRule>
  </conditionalFormatting>
  <conditionalFormatting sqref="C171">
    <cfRule type="containsText" dxfId="0" priority="50" operator="between" text="uncropped">
      <formula>NOT(ISERROR(SEARCH("uncropped",C171)))</formula>
    </cfRule>
    <cfRule type="cellIs" dxfId="1" priority="49" operator="equal">
      <formula>"auto cropped"</formula>
    </cfRule>
  </conditionalFormatting>
  <conditionalFormatting sqref="C174">
    <cfRule type="containsText" dxfId="0" priority="48" operator="between" text="uncropped">
      <formula>NOT(ISERROR(SEARCH("uncropped",C174)))</formula>
    </cfRule>
    <cfRule type="cellIs" dxfId="1" priority="47" operator="equal">
      <formula>"auto cropped"</formula>
    </cfRule>
  </conditionalFormatting>
  <conditionalFormatting sqref="C177">
    <cfRule type="containsText" dxfId="0" priority="46" operator="between" text="uncropped">
      <formula>NOT(ISERROR(SEARCH("uncropped",C177)))</formula>
    </cfRule>
    <cfRule type="cellIs" dxfId="1" priority="45" operator="equal">
      <formula>"auto cropped"</formula>
    </cfRule>
  </conditionalFormatting>
  <conditionalFormatting sqref="C180">
    <cfRule type="containsText" dxfId="0" priority="44" operator="between" text="uncropped">
      <formula>NOT(ISERROR(SEARCH("uncropped",C180)))</formula>
    </cfRule>
    <cfRule type="cellIs" dxfId="1" priority="43" operator="equal">
      <formula>"auto cropped"</formula>
    </cfRule>
  </conditionalFormatting>
  <conditionalFormatting sqref="C183">
    <cfRule type="containsText" dxfId="0" priority="42" operator="between" text="uncropped">
      <formula>NOT(ISERROR(SEARCH("uncropped",C183)))</formula>
    </cfRule>
    <cfRule type="cellIs" dxfId="1" priority="41" operator="equal">
      <formula>"auto cropped"</formula>
    </cfRule>
  </conditionalFormatting>
  <conditionalFormatting sqref="C193">
    <cfRule type="containsText" dxfId="0" priority="40" operator="between" text="uncropped">
      <formula>NOT(ISERROR(SEARCH("uncropped",C193)))</formula>
    </cfRule>
    <cfRule type="cellIs" dxfId="1" priority="39" operator="equal">
      <formula>"auto cropped"</formula>
    </cfRule>
  </conditionalFormatting>
  <conditionalFormatting sqref="C196">
    <cfRule type="containsText" dxfId="0" priority="38" operator="between" text="uncropped">
      <formula>NOT(ISERROR(SEARCH("uncropped",C196)))</formula>
    </cfRule>
    <cfRule type="cellIs" dxfId="1" priority="37" operator="equal">
      <formula>"auto cropped"</formula>
    </cfRule>
  </conditionalFormatting>
  <conditionalFormatting sqref="C199">
    <cfRule type="containsText" dxfId="0" priority="36" operator="between" text="uncropped">
      <formula>NOT(ISERROR(SEARCH("uncropped",C199)))</formula>
    </cfRule>
    <cfRule type="cellIs" dxfId="1" priority="35" operator="equal">
      <formula>"auto cropped"</formula>
    </cfRule>
  </conditionalFormatting>
  <conditionalFormatting sqref="C202">
    <cfRule type="containsText" dxfId="0" priority="34" operator="between" text="uncropped">
      <formula>NOT(ISERROR(SEARCH("uncropped",C202)))</formula>
    </cfRule>
    <cfRule type="cellIs" dxfId="1" priority="33" operator="equal">
      <formula>"auto cropped"</formula>
    </cfRule>
  </conditionalFormatting>
  <conditionalFormatting sqref="C205">
    <cfRule type="containsText" dxfId="0" priority="32" operator="between" text="uncropped">
      <formula>NOT(ISERROR(SEARCH("uncropped",C205)))</formula>
    </cfRule>
    <cfRule type="cellIs" dxfId="1" priority="31" operator="equal">
      <formula>"auto cropped"</formula>
    </cfRule>
  </conditionalFormatting>
  <conditionalFormatting sqref="C208">
    <cfRule type="containsText" dxfId="0" priority="2" operator="between" text="uncropped">
      <formula>NOT(ISERROR(SEARCH("uncropped",C208)))</formula>
    </cfRule>
    <cfRule type="cellIs" dxfId="1" priority="1" operator="equal">
      <formula>"auto cropped"</formula>
    </cfRule>
  </conditionalFormatting>
  <conditionalFormatting sqref="C211">
    <cfRule type="cellIs" dxfId="1" priority="29" operator="equal">
      <formula>"auto cropped"</formula>
    </cfRule>
    <cfRule type="containsText" dxfId="0" priority="30" operator="between" text="uncropped">
      <formula>NOT(ISERROR(SEARCH("uncropped",C211)))</formula>
    </cfRule>
  </conditionalFormatting>
  <conditionalFormatting sqref="C214">
    <cfRule type="cellIs" dxfId="1" priority="27" operator="equal">
      <formula>"auto cropped"</formula>
    </cfRule>
    <cfRule type="containsText" dxfId="0" priority="28" operator="between" text="uncropped">
      <formula>NOT(ISERROR(SEARCH("uncropped",C214)))</formula>
    </cfRule>
  </conditionalFormatting>
  <conditionalFormatting sqref="C217">
    <cfRule type="cellIs" dxfId="1" priority="25" operator="equal">
      <formula>"auto cropped"</formula>
    </cfRule>
    <cfRule type="containsText" dxfId="0" priority="26" operator="between" text="uncropped">
      <formula>NOT(ISERROR(SEARCH("uncropped",C217)))</formula>
    </cfRule>
  </conditionalFormatting>
  <conditionalFormatting sqref="C220">
    <cfRule type="cellIs" dxfId="1" priority="23" operator="equal">
      <formula>"auto cropped"</formula>
    </cfRule>
    <cfRule type="containsText" dxfId="0" priority="24" operator="between" text="uncropped">
      <formula>NOT(ISERROR(SEARCH("uncropped",C220)))</formula>
    </cfRule>
  </conditionalFormatting>
  <conditionalFormatting sqref="C231">
    <cfRule type="cellIs" dxfId="1" priority="21" operator="equal">
      <formula>"auto cropped"</formula>
    </cfRule>
    <cfRule type="containsText" dxfId="0" priority="22" operator="between" text="uncropped">
      <formula>NOT(ISERROR(SEARCH("uncropped",C231)))</formula>
    </cfRule>
  </conditionalFormatting>
  <conditionalFormatting sqref="C234">
    <cfRule type="cellIs" dxfId="1" priority="19" operator="equal">
      <formula>"auto cropped"</formula>
    </cfRule>
    <cfRule type="containsText" dxfId="0" priority="20" operator="between" text="uncropped">
      <formula>NOT(ISERROR(SEARCH("uncropped",C234)))</formula>
    </cfRule>
  </conditionalFormatting>
  <conditionalFormatting sqref="C237">
    <cfRule type="cellIs" dxfId="1" priority="17" operator="equal">
      <formula>"auto cropped"</formula>
    </cfRule>
    <cfRule type="containsText" dxfId="0" priority="18" operator="between" text="uncropped">
      <formula>NOT(ISERROR(SEARCH("uncropped",C237)))</formula>
    </cfRule>
  </conditionalFormatting>
  <conditionalFormatting sqref="C240">
    <cfRule type="cellIs" dxfId="1" priority="15" operator="equal">
      <formula>"auto cropped"</formula>
    </cfRule>
    <cfRule type="containsText" dxfId="0" priority="16" operator="between" text="uncropped">
      <formula>NOT(ISERROR(SEARCH("uncropped",C240)))</formula>
    </cfRule>
  </conditionalFormatting>
  <conditionalFormatting sqref="C243">
    <cfRule type="cellIs" dxfId="1" priority="13" operator="equal">
      <formula>"auto cropped"</formula>
    </cfRule>
    <cfRule type="containsText" dxfId="0" priority="14" operator="between" text="uncropped">
      <formula>NOT(ISERROR(SEARCH("uncropped",C243)))</formula>
    </cfRule>
  </conditionalFormatting>
  <conditionalFormatting sqref="C246">
    <cfRule type="cellIs" dxfId="1" priority="11" operator="equal">
      <formula>"auto cropped"</formula>
    </cfRule>
    <cfRule type="containsText" dxfId="0" priority="12" operator="between" text="uncropped">
      <formula>NOT(ISERROR(SEARCH("uncropped",C246)))</formula>
    </cfRule>
  </conditionalFormatting>
  <conditionalFormatting sqref="C249">
    <cfRule type="cellIs" dxfId="1" priority="9" operator="equal">
      <formula>"auto cropped"</formula>
    </cfRule>
    <cfRule type="containsText" dxfId="0" priority="10" operator="between" text="uncropped">
      <formula>NOT(ISERROR(SEARCH("uncropped",C249)))</formula>
    </cfRule>
  </conditionalFormatting>
  <conditionalFormatting sqref="C252">
    <cfRule type="cellIs" dxfId="1" priority="7" operator="equal">
      <formula>"auto cropped"</formula>
    </cfRule>
    <cfRule type="containsText" dxfId="0" priority="8" operator="between" text="uncropped">
      <formula>NOT(ISERROR(SEARCH("uncropped",C252)))</formula>
    </cfRule>
  </conditionalFormatting>
  <conditionalFormatting sqref="C255">
    <cfRule type="cellIs" dxfId="1" priority="5" operator="equal">
      <formula>"auto cropped"</formula>
    </cfRule>
    <cfRule type="containsText" dxfId="0" priority="6" operator="between" text="uncropped">
      <formula>NOT(ISERROR(SEARCH("uncropped",C255)))</formula>
    </cfRule>
  </conditionalFormatting>
  <conditionalFormatting sqref="C258">
    <cfRule type="cellIs" dxfId="1" priority="3" operator="equal">
      <formula>"auto cropped"</formula>
    </cfRule>
    <cfRule type="containsText" dxfId="0" priority="4" operator="between" text="uncropped">
      <formula>NOT(ISERROR(SEARCH("uncropped",C258)))</formula>
    </cfRule>
  </conditionalFormatting>
  <conditionalFormatting sqref="C2:C3">
    <cfRule type="containsText" dxfId="0" priority="143" operator="between" text="uncropped">
      <formula>NOT(ISERROR(SEARCH("uncropped",C2)))</formula>
    </cfRule>
  </conditionalFormatting>
  <conditionalFormatting sqref="C1:C117 C119:C120 C122:C123 C125:C126 C128:C129 C131:C132 C134:C135 C137:C138 C140:C141 C143:C144 C146:C155 C157:C158 C160:C161 C163:C164 C166:C167 C169:C170 C172:C173 C175:C176 C178:C179 C181:C182 C184:C192 C194:C195 C197:C198 C200:C201 C203:C204 C206:C207 C209:C210 C259:C1048576 C256:C257 C253:C254 C250:C251 C247:C248 C244:C245 C241:C242 C238:C239 C235:C236 C232:C233 C221:C230 C218:C219 C215:C216 C212:C213">
    <cfRule type="cellIs" dxfId="1" priority="81" operator="equal">
      <formula>"auto cropped"</formula>
    </cfRule>
  </conditionalFormatting>
  <conditionalFormatting sqref="C5:C6 C8:C9 C11:C12 C14:C15 C17:C18 C20:C21 C23:C24 C26:C27 C29:C30 C32:C33 C35:C44 C46:C47 C49:C50 C52:C53 C55:C56 C58:C59 C61:C62 C64:C65 C67:C68 C70:C71 C73:C82 C84:C85 C87:C88 C90:C91 C93:C94 C96:C97 C99:C100 C102:C103 C105:C106 C108:C109 C111:C117 C119:C120 C122:C123 C125:C126 C128:C129 C131:C132 C134:C135 C137:C138 C140:C141 C143:C144 C146:C155 C157:C158 C160:C161 C163:C164 C166:C167 C169:C170 C172:C173 C175:C176 C178:C179 C181:C182 C184:C192 C194:C195 C197:C198 C200:C201 C203:C204 C206:C207 C209:C210 C259:C260 C256:C257 C253:C254 C250:C251 C247:C248 C244:C245 C241:C242 C238:C239 C235:C236 C232:C233 C221:C230 C218:C219 C215:C216 C212:C213">
    <cfRule type="containsText" dxfId="0" priority="112" operator="between" text="uncropped">
      <formula>NOT(ISERROR(SEARCH("uncropped",C5)))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"/>
  <sheetViews>
    <sheetView tabSelected="1" workbookViewId="0">
      <selection activeCell="H13" sqref="H13"/>
    </sheetView>
  </sheetViews>
  <sheetFormatPr defaultColWidth="8.88888888888889" defaultRowHeight="14.4" outlineLevelCol="7"/>
  <cols>
    <col min="1" max="1" width="36" customWidth="1"/>
    <col min="2" max="2" width="19.4444444444444" customWidth="1"/>
    <col min="3" max="3" width="25.1111111111111" customWidth="1"/>
    <col min="4" max="4" width="22.5555555555556" customWidth="1"/>
    <col min="5" max="5" width="19.4444444444444" customWidth="1"/>
    <col min="6" max="6" width="25.1111111111111" customWidth="1"/>
    <col min="7" max="7" width="22.5555555555556" customWidth="1"/>
    <col min="8" max="8" width="20" customWidth="1"/>
  </cols>
  <sheetData>
    <row r="1" ht="18" spans="1:6">
      <c r="A1" s="1" t="s">
        <v>91</v>
      </c>
      <c r="B1" s="1" t="s">
        <v>92</v>
      </c>
      <c r="C1" s="1" t="s">
        <v>93</v>
      </c>
      <c r="D1" s="1" t="s">
        <v>94</v>
      </c>
      <c r="E1" s="2"/>
      <c r="F1" s="3"/>
    </row>
    <row r="2" spans="1:5">
      <c r="A2" s="4" t="s">
        <v>95</v>
      </c>
      <c r="B2" s="5">
        <v>17</v>
      </c>
      <c r="C2" s="5">
        <v>26</v>
      </c>
      <c r="D2" s="5">
        <v>30</v>
      </c>
      <c r="E2" s="5"/>
    </row>
    <row r="3" spans="1:5">
      <c r="A3" s="4" t="s">
        <v>96</v>
      </c>
      <c r="B3" s="6">
        <v>0.243</v>
      </c>
      <c r="C3" s="6">
        <v>0.371</v>
      </c>
      <c r="D3" s="7">
        <v>0.429</v>
      </c>
      <c r="E3" s="8"/>
    </row>
    <row r="4" spans="1:5">
      <c r="A4" s="4" t="s">
        <v>97</v>
      </c>
      <c r="B4" s="5">
        <v>35</v>
      </c>
      <c r="C4" s="5">
        <v>48</v>
      </c>
      <c r="D4" s="5">
        <v>54</v>
      </c>
      <c r="E4" s="5"/>
    </row>
    <row r="5" spans="1:5">
      <c r="A5" s="4" t="s">
        <v>98</v>
      </c>
      <c r="B5" s="6">
        <v>0.5</v>
      </c>
      <c r="C5" s="6">
        <v>0.686</v>
      </c>
      <c r="D5" s="7">
        <v>0.771</v>
      </c>
      <c r="E5" s="8"/>
    </row>
    <row r="6" spans="1:5">
      <c r="A6" s="4" t="s">
        <v>99</v>
      </c>
      <c r="B6" s="6">
        <v>0.411</v>
      </c>
      <c r="C6" s="6">
        <v>0.529</v>
      </c>
      <c r="D6" s="7">
        <v>0.512</v>
      </c>
      <c r="E6" s="8"/>
    </row>
    <row r="7" spans="1:5">
      <c r="A7" s="4" t="s">
        <v>100</v>
      </c>
      <c r="B7" s="6">
        <v>0.461</v>
      </c>
      <c r="C7" s="6">
        <v>0.61</v>
      </c>
      <c r="D7" s="7">
        <v>0.569</v>
      </c>
      <c r="E7" s="8"/>
    </row>
    <row r="13" spans="1:7">
      <c r="A13" s="1" t="s">
        <v>1</v>
      </c>
      <c r="B13" s="1" t="s">
        <v>101</v>
      </c>
      <c r="C13" s="1" t="s">
        <v>102</v>
      </c>
      <c r="D13" s="1" t="s">
        <v>103</v>
      </c>
      <c r="E13" s="1" t="s">
        <v>104</v>
      </c>
      <c r="F13" s="1" t="s">
        <v>105</v>
      </c>
      <c r="G13" s="1" t="s">
        <v>106</v>
      </c>
    </row>
    <row r="14" spans="1:8">
      <c r="A14" s="4" t="s">
        <v>12</v>
      </c>
      <c r="B14" s="6">
        <v>0.3</v>
      </c>
      <c r="C14" s="6">
        <v>0.9</v>
      </c>
      <c r="D14" s="9">
        <v>1</v>
      </c>
      <c r="E14" s="6">
        <v>0.5</v>
      </c>
      <c r="F14" s="6">
        <v>1</v>
      </c>
      <c r="G14" s="10">
        <v>1</v>
      </c>
      <c r="H14" s="8"/>
    </row>
    <row r="15" spans="1:8">
      <c r="A15" s="4" t="s">
        <v>19</v>
      </c>
      <c r="B15" s="6">
        <v>0.5</v>
      </c>
      <c r="C15" s="6">
        <v>0.7</v>
      </c>
      <c r="D15" s="9">
        <v>0.7</v>
      </c>
      <c r="E15" s="6">
        <v>0.8</v>
      </c>
      <c r="F15" s="6">
        <v>1</v>
      </c>
      <c r="G15" s="10">
        <v>1</v>
      </c>
      <c r="H15" s="8"/>
    </row>
    <row r="16" spans="1:8">
      <c r="A16" s="4" t="s">
        <v>17</v>
      </c>
      <c r="B16" s="6">
        <v>0</v>
      </c>
      <c r="C16" s="6">
        <v>0</v>
      </c>
      <c r="D16" s="8">
        <v>0</v>
      </c>
      <c r="E16" s="6">
        <v>0</v>
      </c>
      <c r="F16" s="6">
        <v>0.2</v>
      </c>
      <c r="G16" s="10">
        <v>0.2</v>
      </c>
      <c r="H16" s="8"/>
    </row>
    <row r="17" spans="1:8">
      <c r="A17" s="4" t="s">
        <v>14</v>
      </c>
      <c r="B17" s="6">
        <v>0.2</v>
      </c>
      <c r="C17" s="6">
        <v>0.1</v>
      </c>
      <c r="D17" s="9">
        <v>0.3</v>
      </c>
      <c r="E17" s="6">
        <v>0.6</v>
      </c>
      <c r="F17" s="6">
        <v>0.6</v>
      </c>
      <c r="G17" s="10">
        <v>0.6</v>
      </c>
      <c r="H17" s="8"/>
    </row>
    <row r="18" spans="1:8">
      <c r="A18" s="4" t="s">
        <v>15</v>
      </c>
      <c r="B18" s="6">
        <v>0.5</v>
      </c>
      <c r="C18" s="6">
        <v>0.6</v>
      </c>
      <c r="D18" s="9">
        <v>0.4</v>
      </c>
      <c r="E18" s="6">
        <v>0.8</v>
      </c>
      <c r="F18" s="6">
        <v>1</v>
      </c>
      <c r="G18" s="10">
        <v>1</v>
      </c>
      <c r="H18" s="8"/>
    </row>
    <row r="19" spans="1:8">
      <c r="A19" s="4" t="s">
        <v>22</v>
      </c>
      <c r="B19" s="6">
        <v>0.2</v>
      </c>
      <c r="C19" s="6">
        <v>0.3</v>
      </c>
      <c r="D19" s="9">
        <v>0.4</v>
      </c>
      <c r="E19" s="6">
        <v>0.6</v>
      </c>
      <c r="F19" s="6">
        <v>0.8</v>
      </c>
      <c r="G19" s="10">
        <v>1</v>
      </c>
      <c r="H19" s="8"/>
    </row>
    <row r="20" spans="1:8">
      <c r="A20" s="4" t="s">
        <v>20</v>
      </c>
      <c r="B20" s="6">
        <v>0</v>
      </c>
      <c r="C20" s="6">
        <v>0</v>
      </c>
      <c r="D20" s="9">
        <v>0.2</v>
      </c>
      <c r="E20" s="6">
        <v>0.2</v>
      </c>
      <c r="F20" s="6">
        <v>0.2</v>
      </c>
      <c r="G20" s="10">
        <v>0.6</v>
      </c>
      <c r="H20" s="8"/>
    </row>
    <row r="24" spans="1:3">
      <c r="A24" s="4" t="s">
        <v>107</v>
      </c>
      <c r="B24" s="4"/>
      <c r="C24" s="4"/>
    </row>
    <row r="25" spans="1:3">
      <c r="A25" s="4" t="s">
        <v>108</v>
      </c>
      <c r="B25" s="4"/>
      <c r="C25" s="4"/>
    </row>
    <row r="26" spans="1:3">
      <c r="A26" s="4" t="s">
        <v>109</v>
      </c>
      <c r="B26" s="4"/>
      <c r="C26" s="4"/>
    </row>
    <row r="27" spans="1:3">
      <c r="A27" s="4" t="s">
        <v>110</v>
      </c>
      <c r="B27" s="4"/>
      <c r="C27" s="4"/>
    </row>
    <row r="28" spans="1:3">
      <c r="A28" s="4" t="s">
        <v>111</v>
      </c>
      <c r="B28" s="4"/>
      <c r="C28" s="4"/>
    </row>
    <row r="29" spans="1:3">
      <c r="A29" s="4" t="s">
        <v>112</v>
      </c>
      <c r="B29" s="4"/>
      <c r="C29" s="4"/>
    </row>
    <row r="31" spans="1:1">
      <c r="A31" t="s">
        <v>113</v>
      </c>
    </row>
    <row r="32" spans="1:1">
      <c r="A32" t="s">
        <v>114</v>
      </c>
    </row>
    <row r="35" spans="1:1">
      <c r="A35" t="s">
        <v>115</v>
      </c>
    </row>
    <row r="37" spans="1:1">
      <c r="A37" s="11" t="s">
        <v>116</v>
      </c>
    </row>
    <row r="38" spans="1:1">
      <c r="A38" s="11" t="s">
        <v>117</v>
      </c>
    </row>
    <row r="40" spans="1:1">
      <c r="A40" t="s">
        <v>118</v>
      </c>
    </row>
    <row r="42" spans="1:1">
      <c r="A42" t="s">
        <v>119</v>
      </c>
    </row>
    <row r="44" spans="1:1">
      <c r="A44" s="11" t="s">
        <v>120</v>
      </c>
    </row>
    <row r="45" spans="1:1">
      <c r="A45" s="11" t="s">
        <v>121</v>
      </c>
    </row>
    <row r="47" spans="1:1">
      <c r="A47" t="s">
        <v>122</v>
      </c>
    </row>
    <row r="49" spans="1:1">
      <c r="A49" s="12" t="s">
        <v>123</v>
      </c>
    </row>
    <row r="50" spans="1:1">
      <c r="A50" s="12" t="s">
        <v>124</v>
      </c>
    </row>
    <row r="52" spans="1:1">
      <c r="A52" t="s">
        <v>125</v>
      </c>
    </row>
    <row r="54" spans="1:1">
      <c r="A54" s="11" t="s">
        <v>126</v>
      </c>
    </row>
    <row r="55" spans="1:1">
      <c r="A55" s="11" t="s">
        <v>127</v>
      </c>
    </row>
    <row r="56" spans="1:1">
      <c r="A56" s="11" t="s">
        <v>128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sandr</cp:lastModifiedBy>
  <dcterms:created xsi:type="dcterms:W3CDTF">2026-03-23T14:43:00Z</dcterms:created>
  <dcterms:modified xsi:type="dcterms:W3CDTF">2026-06-20T09:31:57Z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CD029603CF45407E879D03386929D681_12</vt:lpwstr>
  </property>
  <property fmtid="{D5CDD505-2E9C-101B-9397-08002B2CF9AE}" pid="3" name="KSOProductBuildVer">
    <vt:lpwstr>1033-12.9.0.21549</vt:lpwstr>
  </property>
</Properties>
</file>